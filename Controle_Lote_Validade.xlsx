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Lotes!$A$1:$E$408</definedName>
  </definedNames>
  <calcPr/>
</workbook>
</file>

<file path=xl/sharedStrings.xml><?xml version="1.0" encoding="utf-8"?>
<sst xmlns="http://schemas.openxmlformats.org/spreadsheetml/2006/main" count="1746" uniqueCount="1212">
  <si>
    <t>SKU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</si>
  <si>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</si>
  <si>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</si>
  <si>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</si>
  <si>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</si>
  <si>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</si>
  <si>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</si>
  <si>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</si>
  <si>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</si>
  <si>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</si>
  <si>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</si>
  <si>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</si>
  <si>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</si>
  <si>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</si>
  <si>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</si>
  <si>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</si>
  <si>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</si>
  <si>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</si>
  <si>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</si>
  <si>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</si>
  <si>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</si>
  <si>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</si>
  <si>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</si>
  <si>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</si>
  <si>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ok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</si>
  <si>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</si>
  <si>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</si>
  <si>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</si>
  <si>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</si>
  <si>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</si>
  <si>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</si>
  <si>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</si>
  <si>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</si>
  <si>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</si>
  <si>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</si>
  <si>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</si>
  <si>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</si>
  <si>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</si>
  <si>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</si>
  <si>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</si>
  <si>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</si>
  <si>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</si>
  <si>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</si>
  <si>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</si>
  <si>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</si>
  <si>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</si>
  <si>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</si>
  <si>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</si>
  <si>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</si>
  <si>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</si>
  <si>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</si>
  <si>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</si>
  <si>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</si>
  <si>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</si>
  <si>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</si>
  <si>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</si>
  <si>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</si>
  <si>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</si>
  <si>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</si>
  <si>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</si>
  <si>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</si>
  <si>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</si>
  <si>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</si>
  <si>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</si>
  <si>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</si>
  <si>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</si>
  <si>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</si>
  <si>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</si>
  <si>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</si>
  <si>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</si>
  <si>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</si>
  <si>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</si>
  <si>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</si>
  <si>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</si>
  <si>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</si>
  <si>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</si>
  <si>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</si>
  <si>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</si>
  <si>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</si>
  <si>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</si>
  <si>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</si>
  <si>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</si>
  <si>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</si>
  <si>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</si>
  <si>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</si>
  <si>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</si>
  <si>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</si>
  <si>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</si>
  <si>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</si>
  <si>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</si>
  <si>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</si>
  <si>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</si>
  <si>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</si>
  <si>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</si>
  <si>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</si>
  <si>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</si>
  <si>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</si>
  <si>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</si>
  <si>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</si>
  <si>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</si>
  <si>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</si>
  <si>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</si>
  <si>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</si>
  <si>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</si>
  <si>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</si>
  <si>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</si>
  <si>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</si>
  <si>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</si>
  <si>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</si>
  <si>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</si>
  <si>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</si>
  <si>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</si>
  <si>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</si>
  <si>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</si>
  <si>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</si>
  <si>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</si>
  <si>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</si>
  <si>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</si>
  <si>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</si>
  <si>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</si>
  <si>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</si>
  <si>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</si>
  <si>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</si>
  <si>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</si>
  <si>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</si>
  <si>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</si>
  <si>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</si>
  <si>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</si>
  <si>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</si>
  <si>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</si>
  <si>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</si>
  <si>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</si>
  <si>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</si>
  <si>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</si>
  <si>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</si>
  <si>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</si>
  <si>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</si>
  <si>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</si>
  <si>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</si>
  <si>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</si>
  <si>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</si>
  <si>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</si>
  <si>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</si>
  <si>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</si>
  <si>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</si>
  <si>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</si>
  <si>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</si>
  <si>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</si>
  <si>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</si>
  <si>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</si>
  <si>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</si>
  <si>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</si>
  <si>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</si>
  <si>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</si>
  <si>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</si>
  <si>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</si>
  <si>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</si>
  <si>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</si>
  <si>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</si>
  <si>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</si>
  <si>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</si>
  <si>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</si>
  <si>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</si>
  <si>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</si>
  <si>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</si>
  <si>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</si>
  <si>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</si>
  <si>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</si>
  <si>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</si>
  <si>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</si>
  <si>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</si>
  <si>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</si>
  <si>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</si>
  <si>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</si>
  <si>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</si>
  <si>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</si>
  <si>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</si>
  <si>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</si>
  <si>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</si>
  <si>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</si>
  <si>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</si>
  <si>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</si>
  <si>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</si>
  <si>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</si>
  <si>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</si>
  <si>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</si>
  <si>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</si>
  <si>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</si>
  <si>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</si>
  <si>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</si>
  <si>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</si>
  <si>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</si>
  <si>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</si>
  <si>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</si>
  <si>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</si>
  <si>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</si>
  <si>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</si>
  <si>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</si>
  <si>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</si>
  <si>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</si>
  <si>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</si>
  <si>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</si>
  <si>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</si>
  <si>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</si>
  <si>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</si>
  <si>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</si>
  <si>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</si>
  <si>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</si>
  <si>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</si>
  <si>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</si>
  <si>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</si>
  <si>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</si>
  <si>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</si>
  <si>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</si>
  <si>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</si>
  <si>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</si>
  <si>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</si>
  <si>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</si>
  <si>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</si>
  <si>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</si>
  <si>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</si>
  <si>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</si>
  <si>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</si>
  <si>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</si>
  <si>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</si>
  <si>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</si>
  <si>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</si>
  <si>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</si>
  <si>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</si>
  <si>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</si>
  <si>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</si>
  <si>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</si>
  <si>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</si>
  <si>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</si>
  <si>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</si>
  <si>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</si>
  <si>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</si>
  <si>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</si>
  <si>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</si>
  <si>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</si>
  <si>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</si>
  <si>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</si>
  <si>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</si>
  <si>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</si>
  <si>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</si>
  <si>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</si>
  <si>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</si>
  <si>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</si>
  <si>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</si>
  <si>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</si>
  <si>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</si>
  <si>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</si>
  <si>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</si>
  <si>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</si>
  <si>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</si>
  <si>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</si>
  <si>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</si>
  <si>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</si>
  <si>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</si>
  <si>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</si>
  <si>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</si>
  <si>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</si>
  <si>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</si>
  <si>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</si>
  <si>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</si>
  <si>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</si>
  <si>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</si>
  <si>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</si>
  <si>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</si>
  <si>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</si>
  <si>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</si>
  <si>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</si>
  <si>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</si>
  <si>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</si>
  <si>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</si>
  <si>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</si>
  <si>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</si>
  <si>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</si>
  <si>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</si>
  <si>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</si>
  <si>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</si>
  <si>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</si>
  <si>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10205220</t>
  </si>
  <si>
    <t>DIFUSOR DE PERFUME TABACO &amp; VANILLA 220ML</t>
  </si>
  <si>
    <t>LEN314.0001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</si>
  <si>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</si>
  <si>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</si>
  <si>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</si>
  <si>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</si>
  <si>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</si>
  <si>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</si>
  <si>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</si>
  <si>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</si>
  <si>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</si>
  <si>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</si>
  <si>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</si>
  <si>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</si>
  <si>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</si>
  <si>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</si>
  <si>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</si>
  <si>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</si>
  <si>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</si>
  <si>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</si>
  <si>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</si>
  <si>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</si>
  <si>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</si>
  <si>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</si>
  <si>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</si>
  <si>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</si>
  <si>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</si>
  <si>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</si>
  <si>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</si>
  <si>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</si>
  <si>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</si>
  <si>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</si>
  <si>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</si>
  <si>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</si>
  <si>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</si>
  <si>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</si>
  <si>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</si>
  <si>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</si>
  <si>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</si>
  <si>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</si>
  <si>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</si>
  <si>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</si>
  <si>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</si>
  <si>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</si>
  <si>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</si>
  <si>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</si>
  <si>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</si>
  <si>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</si>
  <si>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</si>
  <si>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</si>
  <si>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</si>
  <si>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</si>
  <si>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</si>
  <si>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</si>
  <si>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</si>
  <si>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</si>
  <si>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</si>
  <si>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</si>
  <si>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</si>
  <si>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</si>
  <si>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</si>
  <si>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</si>
  <si>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</si>
  <si>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</si>
  <si>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</si>
  <si>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</si>
  <si>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</si>
  <si>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</si>
  <si>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</si>
  <si>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</si>
  <si>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</si>
  <si>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</si>
  <si>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</si>
  <si>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</si>
  <si>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</si>
  <si>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</si>
  <si>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</si>
  <si>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</si>
  <si>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</si>
  <si>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</si>
  <si>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</si>
  <si>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</si>
  <si>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</si>
  <si>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</si>
  <si>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</si>
  <si>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</si>
  <si>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</si>
  <si>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</si>
  <si>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</si>
  <si>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</si>
  <si>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A2458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</si>
  <si>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</si>
  <si>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</si>
  <si>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</si>
  <si>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</si>
  <si>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</si>
  <si>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</si>
  <si>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</si>
  <si>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</si>
  <si>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</si>
  <si>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</si>
  <si>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</si>
  <si>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</si>
  <si>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</si>
  <si>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</si>
  <si>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</si>
  <si>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</si>
  <si>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</si>
  <si>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</si>
  <si>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</si>
  <si>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</si>
  <si>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</si>
  <si>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</si>
  <si>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</si>
  <si>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</si>
  <si>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</si>
  <si>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</si>
  <si>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</si>
  <si>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</si>
  <si>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</si>
  <si>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</si>
  <si>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</si>
  <si>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</si>
  <si>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</si>
  <si>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</si>
  <si>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</si>
  <si>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</si>
  <si>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</si>
  <si>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</si>
  <si>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</si>
  <si>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</si>
  <si>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</si>
  <si>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</si>
  <si>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</si>
  <si>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</si>
  <si>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</si>
  <si>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</si>
  <si>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</si>
  <si>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</si>
  <si>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</si>
  <si>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</si>
  <si>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</si>
  <si>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</si>
  <si>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</si>
  <si>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</si>
  <si>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</si>
  <si>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</si>
  <si>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</si>
  <si>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</si>
  <si>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</si>
  <si>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</si>
  <si>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</si>
  <si>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</si>
  <si>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</si>
  <si>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</si>
  <si>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</si>
  <si>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</si>
  <si>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</si>
  <si>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</si>
  <si>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</si>
  <si>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</si>
  <si>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</si>
  <si>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</si>
  <si>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</si>
  <si>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</si>
  <si>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</si>
  <si>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</si>
  <si>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</si>
  <si>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</si>
  <si>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</si>
  <si>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</si>
  <si>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</si>
  <si>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</si>
  <si>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</si>
  <si>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</si>
  <si>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</si>
  <si>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</si>
  <si>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</si>
  <si>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</si>
  <si>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</si>
  <si>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</si>
  <si>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</si>
  <si>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</si>
  <si>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</si>
  <si>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</si>
  <si>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</si>
  <si>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</si>
  <si>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</si>
  <si>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</si>
  <si>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</si>
  <si>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</si>
  <si>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</si>
  <si>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</si>
  <si>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</si>
  <si>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</si>
  <si>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</si>
  <si>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</si>
  <si>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</si>
  <si>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</si>
  <si>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</si>
  <si>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</si>
  <si>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</si>
  <si>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</si>
  <si>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</si>
  <si>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</si>
  <si>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</si>
  <si>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</si>
  <si>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</si>
  <si>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</si>
  <si>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</si>
  <si>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</si>
  <si>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</si>
  <si>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</si>
  <si>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</si>
  <si>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</si>
  <si>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</si>
  <si>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</si>
  <si>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</si>
  <si>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</si>
  <si>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</si>
  <si>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</si>
  <si>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</si>
  <si>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</si>
  <si>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</si>
  <si>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</si>
  <si>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</si>
  <si>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</si>
  <si>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</si>
  <si>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</si>
  <si>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</si>
  <si>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</si>
  <si>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</si>
  <si>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</si>
  <si>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</si>
  <si>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</si>
  <si>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</si>
  <si>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</si>
  <si>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</si>
  <si>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</si>
  <si>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</si>
  <si>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</si>
  <si>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</si>
  <si>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</si>
  <si>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</si>
  <si>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</si>
  <si>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</si>
  <si>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</si>
  <si>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</si>
  <si>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</si>
  <si>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</si>
  <si>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</si>
  <si>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</si>
  <si>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</si>
  <si>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</si>
  <si>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</si>
  <si>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</si>
  <si>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</si>
  <si>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</si>
  <si>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</si>
  <si>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</si>
  <si>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</si>
  <si>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</si>
  <si>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</si>
  <si>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</si>
  <si>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</si>
  <si>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</si>
  <si>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</si>
  <si>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</si>
  <si>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</si>
  <si>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</si>
  <si>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</si>
  <si>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</si>
  <si>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</si>
  <si>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</si>
  <si>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</si>
  <si>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</si>
  <si>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</si>
  <si>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</si>
  <si>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</si>
  <si>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</si>
  <si>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</si>
  <si>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</si>
  <si>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</si>
  <si>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</si>
  <si>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</si>
  <si>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</si>
  <si>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</si>
  <si>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</si>
  <si>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</si>
  <si>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</si>
  <si>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</si>
  <si>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</si>
  <si>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</si>
  <si>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</si>
  <si>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</si>
  <si>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</si>
  <si>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</si>
  <si>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</si>
  <si>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</si>
  <si>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</si>
  <si>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</si>
  <si>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</si>
  <si>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</si>
  <si>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</si>
  <si>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</si>
  <si>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</si>
  <si>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</si>
  <si>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</si>
  <si>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</si>
  <si>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</si>
  <si>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</si>
  <si>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</si>
  <si>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</si>
  <si>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</si>
  <si>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</si>
  <si>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</si>
  <si>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</si>
  <si>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</si>
  <si>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</si>
  <si>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</si>
  <si>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</si>
  <si>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</si>
  <si>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</si>
  <si>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</si>
  <si>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</si>
  <si>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</si>
  <si>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</si>
  <si>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</si>
  <si>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</si>
  <si>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</si>
  <si>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</si>
  <si>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</si>
  <si>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</si>
  <si>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</si>
  <si>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</si>
  <si>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</si>
  <si>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</si>
  <si>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</si>
  <si>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</si>
  <si>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</si>
  <si>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</si>
  <si>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</si>
  <si>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</si>
  <si>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</si>
  <si>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</si>
  <si>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</si>
  <si>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</si>
  <si>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</si>
  <si>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</si>
  <si>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</si>
  <si>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</si>
  <si>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</si>
  <si>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</si>
  <si>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</si>
  <si>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</si>
  <si>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</si>
  <si>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</si>
  <si>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</si>
  <si>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</si>
  <si>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</si>
  <si>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</si>
  <si>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</si>
  <si>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</si>
  <si>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</si>
  <si>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</si>
  <si>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</si>
  <si>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</si>
  <si>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</si>
  <si>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</si>
  <si>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</si>
  <si>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</si>
  <si>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</si>
  <si>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</si>
  <si>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</si>
  <si>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</si>
  <si>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</si>
  <si>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</si>
  <si>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</si>
  <si>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</si>
  <si>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</si>
  <si>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</si>
  <si>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</si>
  <si>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</si>
  <si>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</si>
  <si>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</si>
  <si>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</si>
  <si>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</si>
  <si>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</si>
  <si>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</si>
  <si>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</si>
  <si>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</si>
  <si>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</si>
  <si>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</si>
  <si>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</si>
  <si>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</si>
  <si>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</si>
  <si>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10241250</t>
  </si>
  <si>
    <t>REFIL DIFUSOR DE PERFUME ÂMBAR &amp; PATCHOULI 250ML</t>
  </si>
  <si>
    <t>LEN203.0005</t>
  </si>
  <si>
    <t>116098200</t>
  </si>
  <si>
    <t>REFIL DIFUSOR DE PERFUME BLUE LOTUS - 200ML</t>
  </si>
  <si>
    <t>10240250</t>
  </si>
  <si>
    <t>REFIL DIFUSOR DE PERFUME BERGAMOTA &amp; FRAMBOESA 250ML</t>
  </si>
  <si>
    <t>LEN205.0003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</si>
  <si>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</si>
  <si>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</si>
  <si>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</si>
  <si>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</si>
  <si>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</si>
  <si>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</si>
  <si>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</si>
  <si>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</si>
  <si>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</si>
  <si>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</si>
  <si>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</si>
  <si>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</si>
  <si>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</si>
  <si>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</si>
  <si>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</si>
  <si>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</si>
  <si>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</si>
  <si>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</si>
  <si>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</si>
  <si>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</si>
  <si>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</si>
  <si>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</si>
  <si>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</si>
  <si>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10243250</t>
  </si>
  <si>
    <t>REFIL DIFUSOR DE PERFUME MATCHA &amp; HINOKI 250ML</t>
  </si>
  <si>
    <t>LEN201.0004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</si>
  <si>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</si>
  <si>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</si>
  <si>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</si>
  <si>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</si>
  <si>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</si>
  <si>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</si>
  <si>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</si>
  <si>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</si>
  <si>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</si>
  <si>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</si>
  <si>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</si>
  <si>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</si>
  <si>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</si>
  <si>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</si>
  <si>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</si>
  <si>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</si>
  <si>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10242250</t>
  </si>
  <si>
    <t>REFIL DIFUSOR DE PERFUME PEÔNIA &amp; LIMA 250ML</t>
  </si>
  <si>
    <t>LEN199.0004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</si>
  <si>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</si>
  <si>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</si>
  <si>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</si>
  <si>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</si>
  <si>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</si>
  <si>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</si>
  <si>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</si>
  <si>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</si>
  <si>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10244250</t>
  </si>
  <si>
    <t>REFIL DIFUSOR DE PERFUME TABACO &amp; VANILLA 250ML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</si>
  <si>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</si>
  <si>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</si>
  <si>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</si>
  <si>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</si>
  <si>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</si>
  <si>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</si>
  <si>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</si>
  <si>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</si>
  <si>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</si>
  <si>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</si>
  <si>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</si>
  <si>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</si>
  <si>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</si>
  <si>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</si>
  <si>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</si>
  <si>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</si>
  <si>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</si>
  <si>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</si>
  <si>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</si>
  <si>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</si>
  <si>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</si>
  <si>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</si>
  <si>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</si>
  <si>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</si>
  <si>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</si>
  <si>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</si>
  <si>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</si>
  <si>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</si>
  <si>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</si>
  <si>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</si>
  <si>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</si>
  <si>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</si>
  <si>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</si>
  <si>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</si>
  <si>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</si>
  <si>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</si>
  <si>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</si>
  <si>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</si>
  <si>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</si>
  <si>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</si>
  <si>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</si>
  <si>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</si>
  <si>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</si>
  <si>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</si>
  <si>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</si>
  <si>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</si>
  <si>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</si>
  <si>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</si>
  <si>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</si>
  <si>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</si>
  <si>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</si>
  <si>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</si>
  <si>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</si>
  <si>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</si>
  <si>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</si>
  <si>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</si>
  <si>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</si>
  <si>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</si>
  <si>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</si>
  <si>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</si>
  <si>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</si>
  <si>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</si>
  <si>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</si>
  <si>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</si>
  <si>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</si>
  <si>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</si>
  <si>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</si>
  <si>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</si>
  <si>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</si>
  <si>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</si>
  <si>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</si>
  <si>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</si>
  <si>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</si>
  <si>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</si>
  <si>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</si>
  <si>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</si>
  <si>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</si>
  <si>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</si>
  <si>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</si>
  <si>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</si>
  <si>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</si>
  <si>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</si>
  <si>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</si>
  <si>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</si>
  <si>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</si>
  <si>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</si>
  <si>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</si>
  <si>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</si>
  <si>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</si>
  <si>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</si>
  <si>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</si>
  <si>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</si>
  <si>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</si>
  <si>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</si>
  <si>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</si>
  <si>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</si>
  <si>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</si>
  <si>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</si>
  <si>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</si>
  <si>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</si>
  <si>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</si>
  <si>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</si>
  <si>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</si>
  <si>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</si>
  <si>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</si>
  <si>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</si>
  <si>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</si>
  <si>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</si>
  <si>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</si>
  <si>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</si>
  <si>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</si>
  <si>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</si>
  <si>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</si>
  <si>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</si>
  <si>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</si>
  <si>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</si>
  <si>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</si>
  <si>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</si>
  <si>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</si>
  <si>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</si>
  <si>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</si>
  <si>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</si>
  <si>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</si>
  <si>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</si>
  <si>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</si>
  <si>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</si>
  <si>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</si>
  <si>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</si>
  <si>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</si>
  <si>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</si>
  <si>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</si>
  <si>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</si>
  <si>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</si>
  <si>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</si>
  <si>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</si>
  <si>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</si>
  <si>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</si>
  <si>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</si>
  <si>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</si>
  <si>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</si>
  <si>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</si>
  <si>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</si>
  <si>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</si>
  <si>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</si>
  <si>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</si>
  <si>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</si>
  <si>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</si>
  <si>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</si>
  <si>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</si>
  <si>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</si>
  <si>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</si>
  <si>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</si>
  <si>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</si>
  <si>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</si>
  <si>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</si>
  <si>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</si>
  <si>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</si>
  <si>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</si>
  <si>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</si>
  <si>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</si>
  <si>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</si>
  <si>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</si>
  <si>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</si>
  <si>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</si>
  <si>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</si>
  <si>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</si>
  <si>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</si>
  <si>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</si>
  <si>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</si>
  <si>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</si>
  <si>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</si>
  <si>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</si>
  <si>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</si>
  <si>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</si>
  <si>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</si>
  <si>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</si>
  <si>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</si>
  <si>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</si>
  <si>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</si>
  <si>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</si>
  <si>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</si>
  <si>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</si>
  <si>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</si>
  <si>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</si>
  <si>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</si>
  <si>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</si>
  <si>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</si>
  <si>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</si>
  <si>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</si>
  <si>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</si>
  <si>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10405220</t>
  </si>
  <si>
    <t xml:space="preserve">SABONETE LIQUIDO TABACO &amp; VANILLA 220ML </t>
  </si>
  <si>
    <t>LEN322.0001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</si>
  <si>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</si>
  <si>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</si>
  <si>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</si>
  <si>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</si>
  <si>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</si>
  <si>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</si>
  <si>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</si>
  <si>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</si>
  <si>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</si>
  <si>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</si>
  <si>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</si>
  <si>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</si>
  <si>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</si>
  <si>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</si>
  <si>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</si>
  <si>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</si>
  <si>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</si>
  <si>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</si>
  <si>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</si>
  <si>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</si>
  <si>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</si>
  <si>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</si>
  <si>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</si>
  <si>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</si>
  <si>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</si>
  <si>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</si>
  <si>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</si>
  <si>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</si>
  <si>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</si>
  <si>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</si>
  <si>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</si>
  <si>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</si>
  <si>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</si>
  <si>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</si>
  <si>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</si>
  <si>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</si>
  <si>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</si>
  <si>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</si>
  <si>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</si>
  <si>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</si>
  <si>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</si>
  <si>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</si>
  <si>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</si>
  <si>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</si>
  <si>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</si>
  <si>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</si>
  <si>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</si>
  <si>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</si>
  <si>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</si>
  <si>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</si>
  <si>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</si>
  <si>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</si>
  <si>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</si>
  <si>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</si>
  <si>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</si>
  <si>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</si>
  <si>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</si>
  <si>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</si>
  <si>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</si>
  <si>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</si>
  <si>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</si>
  <si>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</si>
  <si>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</si>
  <si>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</si>
  <si>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</si>
  <si>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</si>
  <si>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</si>
  <si>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</si>
  <si>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</si>
  <si>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</si>
  <si>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</si>
  <si>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</si>
  <si>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</si>
  <si>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</si>
  <si>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</si>
  <si>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</si>
  <si>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</si>
  <si>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</si>
  <si>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</si>
  <si>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</si>
  <si>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</si>
  <si>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</si>
  <si>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</si>
  <si>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</si>
  <si>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</si>
  <si>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</si>
  <si>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</si>
  <si>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</si>
  <si>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</si>
  <si>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</si>
  <si>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</si>
  <si>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</si>
  <si>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</si>
  <si>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</si>
  <si>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</si>
  <si>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</si>
  <si>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</si>
  <si>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</si>
  <si>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</si>
  <si>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</si>
  <si>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</si>
  <si>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</si>
  <si>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</si>
  <si>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</si>
  <si>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</si>
  <si>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</si>
  <si>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</si>
  <si>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</si>
  <si>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</si>
  <si>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</si>
  <si>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</si>
  <si>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</si>
  <si>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</si>
  <si>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</si>
  <si>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</si>
  <si>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</si>
  <si>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</si>
  <si>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</si>
  <si>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</si>
  <si>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</si>
  <si>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</si>
  <si>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</si>
  <si>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104012210</t>
  </si>
  <si>
    <t>VELA PERFUMADA LENVIE ROSEWOOD FLORESTA NOTURNA - 210G</t>
  </si>
  <si>
    <t>1484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</si>
  <si>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</si>
  <si>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</si>
  <si>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</si>
  <si>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</si>
  <si>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</si>
  <si>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</si>
  <si>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</si>
  <si>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</si>
  <si>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</si>
  <si>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</si>
  <si>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</si>
  <si>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</si>
  <si>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</si>
  <si>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</si>
  <si>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</si>
  <si>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</si>
  <si>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</si>
  <si>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</si>
  <si>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</si>
  <si>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</si>
  <si>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</si>
  <si>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</si>
  <si>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</si>
  <si>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</si>
  <si>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</si>
  <si>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</si>
  <si>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</si>
  <si>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</si>
  <si>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</si>
  <si>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</si>
  <si>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</si>
  <si>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</si>
  <si>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</si>
  <si>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</si>
  <si>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</si>
  <si>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</si>
  <si>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</si>
  <si>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</si>
  <si>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</si>
  <si>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</si>
  <si>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</si>
  <si>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</si>
  <si>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</si>
  <si>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</si>
  <si>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</si>
  <si>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</si>
  <si>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</si>
  <si>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</si>
  <si>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</si>
  <si>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</si>
  <si>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</si>
  <si>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</si>
  <si>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</si>
  <si>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</si>
  <si>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</si>
  <si>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</si>
  <si>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</si>
  <si>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</si>
  <si>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</si>
  <si>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</si>
  <si>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</si>
  <si>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</si>
  <si>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</si>
  <si>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</si>
  <si>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</si>
  <si>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</si>
  <si>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</si>
  <si>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</si>
  <si>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</si>
  <si>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</si>
  <si>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</si>
  <si>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</si>
  <si>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</si>
  <si>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</si>
  <si>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</si>
  <si>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</si>
  <si>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</si>
  <si>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</si>
  <si>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</si>
  <si>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</si>
  <si>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</si>
  <si>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</si>
  <si>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</si>
  <si>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</si>
  <si>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</si>
  <si>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</si>
  <si>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</si>
  <si>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</si>
  <si>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</si>
  <si>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</si>
  <si>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</si>
  <si>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</si>
  <si>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</si>
  <si>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</si>
  <si>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</si>
  <si>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</si>
  <si>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</si>
  <si>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</si>
  <si>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</si>
  <si>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</si>
  <si>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</si>
  <si>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</si>
  <si>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</si>
  <si>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</si>
  <si>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</si>
  <si>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</si>
  <si>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</si>
  <si>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</si>
  <si>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</si>
  <si>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</si>
  <si>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</si>
  <si>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</si>
  <si>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</si>
  <si>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</si>
  <si>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</si>
  <si>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</si>
  <si>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</si>
  <si>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10763000</t>
  </si>
  <si>
    <t>AMOSTRA EDP MANGO A GOGO 1,8ML</t>
  </si>
  <si>
    <t>255738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</si>
  <si>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</si>
  <si>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</si>
  <si>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</si>
  <si>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</si>
  <si>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</si>
  <si>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</si>
  <si>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</si>
  <si>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</si>
  <si>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</si>
  <si>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</si>
  <si>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</si>
  <si>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</si>
  <si>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</si>
  <si>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</si>
  <si>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</si>
  <si>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</si>
  <si>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</si>
  <si>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</si>
  <si>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</si>
  <si>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</si>
  <si>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</si>
  <si>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</si>
  <si>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</si>
  <si>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</si>
  <si>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11802150</t>
  </si>
  <si>
    <t>KIT DIF E SAB LIQ PATCHOULI 150ML</t>
  </si>
  <si>
    <t>377</t>
  </si>
  <si>
    <t>01/26</t>
  </si>
  <si>
    <t>Código item</t>
  </si>
  <si>
    <t>Código do Produto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</si>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</sst>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1">
    <dxf>
      <font>
        <b/>
      </font>
      <fill>
        <patternFill patternType="solid">
          <fgColor rgb="FFDD7E6B"/>
          <bgColor rgb="FFDD7E6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 t="s">
        <v>24</v>
      </c>
      <c r="F6" s="5"/>
    </row>
    <row r="7" ht="14.25" customHeight="1">
      <c r="A7" s="6" t="s">
        <v>25</v>
      </c>
      <c r="B7" s="7" t="s">
        <v>26</v>
      </c>
      <c r="C7" s="9" t="s">
        <v>27</v>
      </c>
      <c r="D7" s="10" t="s">
        <v>15</v>
      </c>
      <c r="E7" s="5"/>
    </row>
    <row r="8" ht="14.25" customHeight="1">
      <c r="A8" s="6" t="s">
        <v>28</v>
      </c>
      <c r="B8" s="7" t="s">
        <v>29</v>
      </c>
      <c r="C8" s="9" t="s">
        <v>30</v>
      </c>
      <c r="D8" s="10" t="s">
        <v>31</v>
      </c>
      <c r="E8" s="5"/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/>
    </row>
    <row r="10" ht="14.25" customHeight="1">
      <c r="A10" s="6" t="s">
        <v>36</v>
      </c>
      <c r="B10" s="7" t="s">
        <v>37</v>
      </c>
      <c r="C10" s="9" t="s">
        <v>38</v>
      </c>
      <c r="D10" s="10" t="s">
        <v>35</v>
      </c>
      <c r="E10" s="5"/>
    </row>
    <row r="11" ht="14.25" customHeight="1">
      <c r="A11" s="6" t="s">
        <v>39</v>
      </c>
      <c r="B11" s="7" t="s">
        <v>40</v>
      </c>
      <c r="C11" s="9" t="s">
        <v>41</v>
      </c>
      <c r="D11" s="10" t="s">
        <v>42</v>
      </c>
      <c r="E11" s="5" t="s">
        <v>24</v>
      </c>
    </row>
    <row r="12" ht="14.25" customHeight="1">
      <c r="A12" s="6" t="s">
        <v>43</v>
      </c>
      <c r="B12" s="7" t="s">
        <v>44</v>
      </c>
      <c r="C12" s="9" t="s">
        <v>45</v>
      </c>
      <c r="D12" s="10" t="s">
        <v>35</v>
      </c>
      <c r="E12" s="5"/>
    </row>
    <row r="13" ht="14.25" customHeight="1">
      <c r="A13" s="6" t="s">
        <v>46</v>
      </c>
      <c r="B13" s="7" t="s">
        <v>47</v>
      </c>
      <c r="C13" s="9" t="s">
        <v>48</v>
      </c>
      <c r="D13" s="10" t="s">
        <v>31</v>
      </c>
      <c r="E13" s="5"/>
    </row>
    <row r="14" ht="14.25" customHeight="1">
      <c r="A14" s="6" t="s">
        <v>49</v>
      </c>
      <c r="B14" s="7" t="s">
        <v>50</v>
      </c>
      <c r="C14" s="9" t="s">
        <v>51</v>
      </c>
      <c r="D14" s="10" t="s">
        <v>31</v>
      </c>
      <c r="E14" s="5"/>
    </row>
    <row r="15" ht="14.25" customHeight="1">
      <c r="A15" s="6" t="s">
        <v>52</v>
      </c>
      <c r="B15" s="7" t="s">
        <v>53</v>
      </c>
      <c r="C15" s="6" t="s">
        <v>54</v>
      </c>
      <c r="D15" s="8" t="s">
        <v>7</v>
      </c>
      <c r="E15" s="5"/>
    </row>
    <row r="16" ht="14.25" customHeight="1">
      <c r="A16" s="6" t="s">
        <v>55</v>
      </c>
      <c r="B16" s="7" t="s">
        <v>56</v>
      </c>
      <c r="C16" s="9" t="s">
        <v>57</v>
      </c>
      <c r="D16" s="10" t="s">
        <v>35</v>
      </c>
      <c r="E16" s="5"/>
    </row>
    <row r="17" ht="14.25" customHeight="1">
      <c r="A17" s="6" t="s">
        <v>58</v>
      </c>
      <c r="B17" s="7" t="s">
        <v>59</v>
      </c>
      <c r="C17" s="9" t="s">
        <v>60</v>
      </c>
      <c r="D17" s="10" t="s">
        <v>19</v>
      </c>
      <c r="E17" s="5"/>
    </row>
    <row r="18" ht="14.25" customHeight="1">
      <c r="A18" s="6" t="s">
        <v>61</v>
      </c>
      <c r="B18" s="7" t="s">
        <v>62</v>
      </c>
      <c r="C18" s="9" t="s">
        <v>63</v>
      </c>
      <c r="D18" s="10" t="s">
        <v>31</v>
      </c>
      <c r="E18" s="5"/>
    </row>
    <row r="19" ht="14.25" customHeight="1">
      <c r="A19" s="6" t="s">
        <v>64</v>
      </c>
      <c r="B19" s="7" t="s">
        <v>65</v>
      </c>
      <c r="C19" s="9" t="s">
        <v>66</v>
      </c>
      <c r="D19" s="10" t="s">
        <v>35</v>
      </c>
      <c r="E19" s="5"/>
    </row>
    <row r="20" ht="14.25" customHeight="1">
      <c r="A20" s="6" t="s">
        <v>67</v>
      </c>
      <c r="B20" s="7" t="s">
        <v>68</v>
      </c>
      <c r="C20" s="9" t="s">
        <v>69</v>
      </c>
      <c r="D20" s="10" t="s">
        <v>70</v>
      </c>
      <c r="E20" s="5"/>
    </row>
    <row r="21" ht="14.25" customHeight="1">
      <c r="A21" s="6" t="s">
        <v>71</v>
      </c>
      <c r="B21" s="7" t="s">
        <v>72</v>
      </c>
      <c r="C21" s="9" t="s">
        <v>73</v>
      </c>
      <c r="D21" s="10" t="s">
        <v>35</v>
      </c>
      <c r="E21" s="5"/>
    </row>
    <row r="22" ht="14.25" customHeight="1">
      <c r="A22" s="6" t="s">
        <v>74</v>
      </c>
      <c r="B22" s="7" t="s">
        <v>75</v>
      </c>
      <c r="C22" s="11" t="s">
        <v>76</v>
      </c>
      <c r="D22" s="10" t="s">
        <v>15</v>
      </c>
      <c r="E22" s="5"/>
    </row>
    <row r="23" ht="14.25" customHeight="1">
      <c r="A23" s="6" t="s">
        <v>77</v>
      </c>
      <c r="B23" s="7" t="s">
        <v>78</v>
      </c>
      <c r="C23" s="9" t="s">
        <v>79</v>
      </c>
      <c r="D23" s="10" t="s">
        <v>35</v>
      </c>
      <c r="E23" s="5"/>
    </row>
    <row r="24" ht="14.25" customHeight="1">
      <c r="A24" s="9" t="s">
        <v>80</v>
      </c>
      <c r="B24" s="12" t="s">
        <v>81</v>
      </c>
      <c r="C24" s="9" t="s">
        <v>6</v>
      </c>
      <c r="D24" s="10" t="s">
        <v>7</v>
      </c>
      <c r="E24" s="5"/>
    </row>
    <row r="25" ht="14.25" customHeight="1">
      <c r="A25" s="6" t="s">
        <v>82</v>
      </c>
      <c r="B25" s="7" t="s">
        <v>83</v>
      </c>
      <c r="C25" s="6" t="s">
        <v>84</v>
      </c>
      <c r="D25" s="8" t="s">
        <v>11</v>
      </c>
      <c r="E25" s="5"/>
    </row>
    <row r="26" ht="14.25" customHeight="1">
      <c r="A26" s="6" t="s">
        <v>85</v>
      </c>
      <c r="B26" s="7" t="s">
        <v>86</v>
      </c>
      <c r="C26" s="9" t="s">
        <v>87</v>
      </c>
      <c r="D26" s="10" t="s">
        <v>35</v>
      </c>
      <c r="E26" s="5"/>
    </row>
    <row r="27" ht="14.25" customHeight="1">
      <c r="A27" s="6" t="s">
        <v>88</v>
      </c>
      <c r="B27" s="7" t="s">
        <v>89</v>
      </c>
      <c r="C27" s="9" t="s">
        <v>90</v>
      </c>
      <c r="D27" s="10" t="s">
        <v>35</v>
      </c>
      <c r="E27" s="5"/>
    </row>
    <row r="28" ht="14.25" customHeight="1">
      <c r="A28" s="6" t="s">
        <v>91</v>
      </c>
      <c r="B28" s="7" t="s">
        <v>92</v>
      </c>
      <c r="C28" s="9" t="s">
        <v>93</v>
      </c>
      <c r="D28" s="10" t="s">
        <v>42</v>
      </c>
      <c r="E28" s="5"/>
    </row>
    <row r="29" ht="14.25" customHeight="1">
      <c r="A29" s="6" t="s">
        <v>94</v>
      </c>
      <c r="B29" s="7" t="s">
        <v>95</v>
      </c>
      <c r="C29" s="9" t="s">
        <v>96</v>
      </c>
      <c r="D29" s="10" t="s">
        <v>42</v>
      </c>
      <c r="E29" s="5"/>
    </row>
    <row r="30" ht="14.25" customHeight="1">
      <c r="A30" s="6" t="s">
        <v>97</v>
      </c>
      <c r="B30" s="7" t="s">
        <v>98</v>
      </c>
      <c r="C30" s="6" t="s">
        <v>99</v>
      </c>
      <c r="D30" s="8" t="s">
        <v>100</v>
      </c>
    </row>
    <row r="31" ht="14.25" customHeight="1">
      <c r="A31" s="6" t="s">
        <v>101</v>
      </c>
      <c r="B31" s="7" t="s">
        <v>102</v>
      </c>
      <c r="C31" s="6" t="s">
        <v>103</v>
      </c>
      <c r="D31" s="8" t="s">
        <v>104</v>
      </c>
      <c r="E31" s="5"/>
    </row>
    <row r="32" ht="14.25" customHeight="1">
      <c r="A32" s="13" t="s">
        <v>105</v>
      </c>
      <c r="B32" s="14" t="s">
        <v>106</v>
      </c>
      <c r="C32" s="15" t="s">
        <v>107</v>
      </c>
      <c r="D32" s="16" t="s">
        <v>108</v>
      </c>
      <c r="E32" s="5"/>
    </row>
    <row r="33" ht="14.25" customHeight="1">
      <c r="A33" s="6" t="s">
        <v>109</v>
      </c>
      <c r="B33" s="7" t="s">
        <v>110</v>
      </c>
      <c r="C33" s="6" t="s">
        <v>111</v>
      </c>
      <c r="D33" s="8" t="s">
        <v>108</v>
      </c>
      <c r="E33" s="5"/>
    </row>
    <row r="34" ht="14.25" customHeight="1">
      <c r="A34" s="13" t="s">
        <v>112</v>
      </c>
      <c r="B34" s="14" t="s">
        <v>113</v>
      </c>
      <c r="C34" s="15" t="s">
        <v>114</v>
      </c>
      <c r="D34" s="16" t="s">
        <v>104</v>
      </c>
      <c r="E34" s="5"/>
    </row>
    <row r="35" ht="14.25" customHeight="1">
      <c r="A35" s="6" t="s">
        <v>115</v>
      </c>
      <c r="B35" s="7" t="s">
        <v>116</v>
      </c>
      <c r="C35" s="6" t="s">
        <v>117</v>
      </c>
      <c r="D35" s="8" t="s">
        <v>104</v>
      </c>
      <c r="E35" s="5"/>
    </row>
    <row r="36" ht="14.25" customHeight="1">
      <c r="A36" s="6" t="s">
        <v>118</v>
      </c>
      <c r="B36" s="7" t="s">
        <v>119</v>
      </c>
      <c r="C36" s="6" t="s">
        <v>99</v>
      </c>
      <c r="D36" s="8" t="s">
        <v>100</v>
      </c>
    </row>
    <row r="37" ht="14.25" customHeight="1">
      <c r="A37" s="6" t="s">
        <v>120</v>
      </c>
      <c r="B37" s="7" t="s">
        <v>121</v>
      </c>
      <c r="C37" s="6" t="s">
        <v>99</v>
      </c>
      <c r="D37" s="8" t="s">
        <v>100</v>
      </c>
    </row>
    <row r="38" ht="14.25" customHeight="1">
      <c r="A38" s="6" t="s">
        <v>122</v>
      </c>
      <c r="B38" s="7" t="s">
        <v>123</v>
      </c>
      <c r="C38" s="9" t="s">
        <v>124</v>
      </c>
      <c r="D38" s="10" t="s">
        <v>31</v>
      </c>
      <c r="E38" s="5"/>
    </row>
    <row r="39" ht="14.25" customHeight="1">
      <c r="A39" s="6" t="s">
        <v>125</v>
      </c>
      <c r="B39" s="7" t="s">
        <v>126</v>
      </c>
      <c r="C39" s="9" t="s">
        <v>127</v>
      </c>
      <c r="D39" s="10" t="s">
        <v>19</v>
      </c>
      <c r="E39" s="5"/>
    </row>
    <row r="40" ht="14.25" customHeight="1">
      <c r="A40" s="6" t="s">
        <v>128</v>
      </c>
      <c r="B40" s="7" t="s">
        <v>126</v>
      </c>
      <c r="C40" s="9" t="s">
        <v>127</v>
      </c>
      <c r="D40" s="10" t="s">
        <v>19</v>
      </c>
      <c r="E40" s="5"/>
    </row>
    <row r="41" ht="14.25" customHeight="1">
      <c r="A41" s="6" t="s">
        <v>129</v>
      </c>
      <c r="B41" s="7" t="s">
        <v>130</v>
      </c>
      <c r="C41" s="9" t="s">
        <v>131</v>
      </c>
      <c r="D41" s="8" t="s">
        <v>23</v>
      </c>
      <c r="E41" s="5"/>
    </row>
    <row r="42" ht="14.25" customHeight="1">
      <c r="A42" s="6" t="s">
        <v>132</v>
      </c>
      <c r="B42" s="7" t="s">
        <v>130</v>
      </c>
      <c r="C42" s="6" t="s">
        <v>133</v>
      </c>
      <c r="D42" s="8" t="s">
        <v>23</v>
      </c>
    </row>
    <row r="43" ht="14.25" customHeight="1">
      <c r="A43" s="6" t="s">
        <v>134</v>
      </c>
      <c r="B43" s="7" t="s">
        <v>135</v>
      </c>
      <c r="C43" s="6" t="s">
        <v>136</v>
      </c>
      <c r="D43" s="8" t="s">
        <v>23</v>
      </c>
    </row>
    <row r="44" ht="14.25" customHeight="1">
      <c r="A44" s="6" t="s">
        <v>137</v>
      </c>
      <c r="B44" s="7" t="s">
        <v>135</v>
      </c>
      <c r="C44" s="6" t="s">
        <v>136</v>
      </c>
      <c r="D44" s="8" t="s">
        <v>23</v>
      </c>
    </row>
    <row r="45" ht="14.25" customHeight="1">
      <c r="A45" s="6" t="s">
        <v>138</v>
      </c>
      <c r="B45" s="7" t="s">
        <v>139</v>
      </c>
      <c r="C45" s="9" t="s">
        <v>140</v>
      </c>
      <c r="D45" s="10" t="s">
        <v>19</v>
      </c>
      <c r="E45" s="5"/>
    </row>
    <row r="46" ht="14.25" customHeight="1">
      <c r="A46" s="6" t="s">
        <v>141</v>
      </c>
      <c r="B46" s="7" t="s">
        <v>139</v>
      </c>
      <c r="C46" s="6" t="s">
        <v>142</v>
      </c>
      <c r="D46" s="8" t="s">
        <v>143</v>
      </c>
    </row>
    <row r="47" ht="14.25" customHeight="1">
      <c r="A47" s="6" t="s">
        <v>144</v>
      </c>
      <c r="B47" s="7" t="s">
        <v>145</v>
      </c>
      <c r="C47" s="9" t="s">
        <v>146</v>
      </c>
      <c r="D47" s="10" t="s">
        <v>19</v>
      </c>
      <c r="E47" s="5"/>
    </row>
    <row r="48" ht="14.25" customHeight="1">
      <c r="A48" s="6" t="s">
        <v>147</v>
      </c>
      <c r="B48" s="7" t="s">
        <v>148</v>
      </c>
      <c r="C48" s="6" t="s">
        <v>149</v>
      </c>
      <c r="D48" s="8" t="s">
        <v>19</v>
      </c>
      <c r="E48" s="5"/>
    </row>
    <row r="49" ht="14.25" customHeight="1">
      <c r="A49" s="6" t="s">
        <v>150</v>
      </c>
      <c r="B49" s="7" t="s">
        <v>151</v>
      </c>
      <c r="C49" s="9" t="s">
        <v>152</v>
      </c>
      <c r="D49" s="10" t="s">
        <v>19</v>
      </c>
      <c r="E49" s="5"/>
    </row>
    <row r="50" ht="14.25" customHeight="1">
      <c r="A50" s="6" t="s">
        <v>153</v>
      </c>
      <c r="B50" s="7" t="s">
        <v>154</v>
      </c>
      <c r="C50" s="9" t="s">
        <v>155</v>
      </c>
      <c r="D50" s="10" t="s">
        <v>15</v>
      </c>
      <c r="E50" s="5"/>
    </row>
    <row r="51" ht="14.25" customHeight="1">
      <c r="A51" s="6" t="s">
        <v>156</v>
      </c>
      <c r="B51" s="7" t="s">
        <v>157</v>
      </c>
      <c r="C51" s="6" t="s">
        <v>158</v>
      </c>
      <c r="D51" s="8" t="s">
        <v>19</v>
      </c>
      <c r="E51" s="5"/>
    </row>
    <row r="52" ht="14.25" customHeight="1">
      <c r="A52" s="6" t="s">
        <v>159</v>
      </c>
      <c r="B52" s="7" t="s">
        <v>160</v>
      </c>
      <c r="C52" s="6" t="s">
        <v>161</v>
      </c>
      <c r="D52" s="8" t="s">
        <v>162</v>
      </c>
      <c r="E52" s="5"/>
    </row>
    <row r="53" ht="14.25" customHeight="1">
      <c r="A53" s="6" t="s">
        <v>163</v>
      </c>
      <c r="B53" s="7" t="s">
        <v>164</v>
      </c>
      <c r="C53" s="6" t="s">
        <v>165</v>
      </c>
      <c r="D53" s="8" t="s">
        <v>19</v>
      </c>
      <c r="E53" s="5"/>
    </row>
    <row r="54" ht="14.25" customHeight="1">
      <c r="A54" s="6" t="s">
        <v>166</v>
      </c>
      <c r="B54" s="7" t="s">
        <v>167</v>
      </c>
      <c r="C54" s="6" t="s">
        <v>168</v>
      </c>
      <c r="D54" s="8" t="s">
        <v>168</v>
      </c>
    </row>
    <row r="55" ht="14.25" customHeight="1">
      <c r="A55" s="6" t="s">
        <v>169</v>
      </c>
      <c r="B55" s="7" t="s">
        <v>170</v>
      </c>
      <c r="C55" s="9" t="s">
        <v>171</v>
      </c>
      <c r="D55" s="10" t="s">
        <v>172</v>
      </c>
      <c r="E55" s="5"/>
    </row>
    <row r="56" ht="14.25" customHeight="1">
      <c r="A56" s="6" t="s">
        <v>173</v>
      </c>
      <c r="B56" s="7" t="s">
        <v>174</v>
      </c>
      <c r="C56" s="6" t="s">
        <v>175</v>
      </c>
      <c r="D56" s="8" t="s">
        <v>143</v>
      </c>
    </row>
    <row r="57" ht="14.25" customHeight="1">
      <c r="A57" s="6" t="s">
        <v>176</v>
      </c>
      <c r="B57" s="7" t="s">
        <v>177</v>
      </c>
      <c r="C57" s="9" t="s">
        <v>178</v>
      </c>
      <c r="D57" s="10" t="s">
        <v>15</v>
      </c>
      <c r="E57" s="5"/>
    </row>
    <row r="58" ht="14.25" customHeight="1">
      <c r="A58" s="6" t="s">
        <v>179</v>
      </c>
      <c r="B58" s="7" t="s">
        <v>180</v>
      </c>
      <c r="C58" s="9" t="s">
        <v>181</v>
      </c>
      <c r="D58" s="10" t="s">
        <v>182</v>
      </c>
      <c r="E58" s="5"/>
    </row>
    <row r="59" ht="14.25" customHeight="1">
      <c r="A59" s="6" t="s">
        <v>183</v>
      </c>
      <c r="B59" s="7" t="s">
        <v>184</v>
      </c>
      <c r="C59" s="9" t="s">
        <v>185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186</v>
      </c>
      <c r="B61" s="7" t="s">
        <v>187</v>
      </c>
      <c r="C61" s="6" t="s">
        <v>188</v>
      </c>
      <c r="D61" s="8" t="s">
        <v>19</v>
      </c>
      <c r="E61" s="5" t="s">
        <v>24</v>
      </c>
    </row>
    <row r="62" ht="14.25" customHeight="1">
      <c r="A62" s="6" t="s">
        <v>189</v>
      </c>
      <c r="B62" s="7" t="s">
        <v>190</v>
      </c>
      <c r="C62" s="9" t="s">
        <v>191</v>
      </c>
      <c r="D62" s="10" t="s">
        <v>15</v>
      </c>
      <c r="E62" s="5"/>
    </row>
    <row r="63" ht="14.25" customHeight="1">
      <c r="A63" s="6" t="s">
        <v>192</v>
      </c>
      <c r="B63" s="7" t="s">
        <v>193</v>
      </c>
      <c r="C63" s="6" t="s">
        <v>168</v>
      </c>
      <c r="D63" s="8" t="s">
        <v>168</v>
      </c>
    </row>
    <row r="64" ht="14.25" customHeight="1">
      <c r="A64" s="13" t="s">
        <v>194</v>
      </c>
      <c r="B64" s="14" t="s">
        <v>195</v>
      </c>
      <c r="C64" s="13" t="s">
        <v>196</v>
      </c>
      <c r="D64" s="17" t="s">
        <v>197</v>
      </c>
    </row>
    <row r="65" ht="14.25" customHeight="1">
      <c r="A65" s="6" t="s">
        <v>198</v>
      </c>
      <c r="B65" s="7" t="s">
        <v>199</v>
      </c>
      <c r="C65" s="9" t="s">
        <v>200</v>
      </c>
      <c r="D65" s="10" t="s">
        <v>31</v>
      </c>
      <c r="E65" s="5"/>
      <c r="F65" s="5" t="s">
        <v>201</v>
      </c>
    </row>
    <row r="66" ht="14.25" customHeight="1">
      <c r="A66" s="6" t="s">
        <v>202</v>
      </c>
      <c r="B66" s="7" t="s">
        <v>203</v>
      </c>
      <c r="C66" s="6" t="s">
        <v>204</v>
      </c>
      <c r="D66" s="8" t="s">
        <v>143</v>
      </c>
    </row>
    <row r="67" ht="14.25" customHeight="1">
      <c r="A67" s="6" t="s">
        <v>205</v>
      </c>
      <c r="B67" s="7" t="s">
        <v>206</v>
      </c>
      <c r="C67" s="6" t="s">
        <v>168</v>
      </c>
      <c r="D67" s="8" t="s">
        <v>168</v>
      </c>
    </row>
    <row r="68" ht="14.25" customHeight="1">
      <c r="A68" s="6" t="s">
        <v>207</v>
      </c>
      <c r="B68" s="7" t="s">
        <v>208</v>
      </c>
      <c r="C68" s="9" t="s">
        <v>209</v>
      </c>
      <c r="D68" s="10" t="s">
        <v>31</v>
      </c>
      <c r="E68" s="5"/>
    </row>
    <row r="69" ht="14.25" customHeight="1">
      <c r="A69" s="6" t="s">
        <v>210</v>
      </c>
      <c r="B69" s="7" t="s">
        <v>211</v>
      </c>
      <c r="C69" s="6" t="s">
        <v>212</v>
      </c>
      <c r="D69" s="8" t="s">
        <v>172</v>
      </c>
    </row>
    <row r="70" ht="14.25" customHeight="1">
      <c r="A70" s="6" t="s">
        <v>213</v>
      </c>
      <c r="B70" s="7" t="s">
        <v>214</v>
      </c>
      <c r="C70" s="9" t="s">
        <v>215</v>
      </c>
      <c r="D70" s="10" t="s">
        <v>19</v>
      </c>
      <c r="E70" s="5"/>
    </row>
    <row r="71" ht="14.25" customHeight="1">
      <c r="A71" s="6" t="s">
        <v>216</v>
      </c>
      <c r="B71" s="7" t="s">
        <v>217</v>
      </c>
      <c r="C71" s="9" t="s">
        <v>218</v>
      </c>
      <c r="D71" s="10" t="s">
        <v>42</v>
      </c>
      <c r="E71" s="5" t="s">
        <v>24</v>
      </c>
    </row>
    <row r="72" ht="14.25" customHeight="1">
      <c r="A72" s="6" t="s">
        <v>219</v>
      </c>
      <c r="B72" s="7" t="s">
        <v>220</v>
      </c>
      <c r="C72" s="9" t="s">
        <v>221</v>
      </c>
      <c r="D72" s="10" t="s">
        <v>19</v>
      </c>
      <c r="E72" s="5"/>
    </row>
    <row r="73" ht="14.25" customHeight="1">
      <c r="A73" s="6" t="s">
        <v>222</v>
      </c>
      <c r="B73" s="7" t="s">
        <v>223</v>
      </c>
      <c r="C73" s="9" t="s">
        <v>224</v>
      </c>
      <c r="D73" s="10" t="s">
        <v>15</v>
      </c>
      <c r="E73" s="5"/>
    </row>
    <row r="74" ht="14.25" customHeight="1">
      <c r="A74" s="6" t="s">
        <v>225</v>
      </c>
      <c r="B74" s="7" t="s">
        <v>226</v>
      </c>
      <c r="C74" s="6" t="s">
        <v>227</v>
      </c>
      <c r="D74" s="8" t="s">
        <v>23</v>
      </c>
      <c r="E74" s="5"/>
    </row>
    <row r="75" ht="14.25" customHeight="1">
      <c r="A75" s="6" t="s">
        <v>228</v>
      </c>
      <c r="B75" s="7" t="s">
        <v>229</v>
      </c>
      <c r="C75" s="6" t="s">
        <v>168</v>
      </c>
      <c r="D75" s="8" t="s">
        <v>168</v>
      </c>
    </row>
    <row r="76" ht="14.25" customHeight="1">
      <c r="A76" s="6" t="s">
        <v>230</v>
      </c>
      <c r="B76" s="7" t="s">
        <v>231</v>
      </c>
      <c r="C76" s="9" t="s">
        <v>232</v>
      </c>
      <c r="D76" s="10" t="s">
        <v>15</v>
      </c>
      <c r="E76" s="5"/>
    </row>
    <row r="77" ht="14.25" customHeight="1">
      <c r="A77" s="6" t="s">
        <v>233</v>
      </c>
      <c r="B77" s="12" t="s">
        <v>234</v>
      </c>
      <c r="C77" s="9" t="s">
        <v>235</v>
      </c>
      <c r="D77" s="10" t="s">
        <v>42</v>
      </c>
      <c r="E77" s="5"/>
    </row>
    <row r="78" ht="14.25" customHeight="1">
      <c r="A78" s="6" t="s">
        <v>236</v>
      </c>
      <c r="B78" s="7" t="s">
        <v>237</v>
      </c>
      <c r="C78" s="6" t="s">
        <v>238</v>
      </c>
      <c r="D78" s="8" t="s">
        <v>239</v>
      </c>
      <c r="E78" s="5"/>
    </row>
    <row r="79" ht="14.25" customHeight="1">
      <c r="A79" s="6" t="s">
        <v>240</v>
      </c>
      <c r="B79" s="7" t="s">
        <v>241</v>
      </c>
      <c r="C79" s="6" t="s">
        <v>168</v>
      </c>
      <c r="D79" s="8" t="s">
        <v>168</v>
      </c>
    </row>
    <row r="80" ht="14.25" customHeight="1">
      <c r="A80" s="6" t="s">
        <v>242</v>
      </c>
      <c r="B80" s="7" t="s">
        <v>243</v>
      </c>
      <c r="C80" s="9" t="s">
        <v>244</v>
      </c>
      <c r="D80" s="10" t="s">
        <v>35</v>
      </c>
      <c r="E80" s="5"/>
    </row>
    <row r="81" ht="14.25" customHeight="1">
      <c r="A81" s="6" t="s">
        <v>245</v>
      </c>
      <c r="B81" s="7" t="s">
        <v>246</v>
      </c>
      <c r="C81" s="9" t="s">
        <v>247</v>
      </c>
      <c r="D81" s="10" t="s">
        <v>31</v>
      </c>
      <c r="E81" s="5"/>
    </row>
    <row r="82" ht="14.25" customHeight="1">
      <c r="A82" s="6" t="s">
        <v>248</v>
      </c>
      <c r="B82" s="7" t="s">
        <v>249</v>
      </c>
      <c r="C82" s="6" t="s">
        <v>168</v>
      </c>
      <c r="D82" s="8" t="s">
        <v>168</v>
      </c>
    </row>
    <row r="83" ht="14.25" customHeight="1">
      <c r="A83" s="6" t="s">
        <v>250</v>
      </c>
      <c r="B83" s="7" t="s">
        <v>251</v>
      </c>
      <c r="C83" s="6" t="s">
        <v>252</v>
      </c>
      <c r="D83" s="8" t="s">
        <v>253</v>
      </c>
    </row>
    <row r="84" ht="14.25" customHeight="1">
      <c r="A84" s="6" t="s">
        <v>254</v>
      </c>
      <c r="B84" s="7" t="s">
        <v>255</v>
      </c>
      <c r="C84" s="6" t="s">
        <v>256</v>
      </c>
      <c r="D84" s="8" t="s">
        <v>239</v>
      </c>
      <c r="E84" s="5"/>
    </row>
    <row r="85" ht="14.25" customHeight="1">
      <c r="A85" s="6" t="s">
        <v>257</v>
      </c>
      <c r="B85" s="7" t="s">
        <v>258</v>
      </c>
      <c r="C85" s="9" t="s">
        <v>259</v>
      </c>
      <c r="D85" s="10" t="s">
        <v>31</v>
      </c>
      <c r="E85" s="5"/>
    </row>
    <row r="86" ht="14.25" customHeight="1">
      <c r="A86" s="6" t="s">
        <v>260</v>
      </c>
      <c r="B86" s="7" t="s">
        <v>261</v>
      </c>
      <c r="C86" s="9" t="s">
        <v>262</v>
      </c>
      <c r="D86" s="10" t="s">
        <v>31</v>
      </c>
      <c r="E86" s="5"/>
    </row>
    <row r="87" ht="14.25" customHeight="1">
      <c r="A87" s="6" t="s">
        <v>263</v>
      </c>
      <c r="B87" s="7" t="s">
        <v>264</v>
      </c>
      <c r="C87" s="9" t="s">
        <v>265</v>
      </c>
      <c r="D87" s="10" t="s">
        <v>7</v>
      </c>
      <c r="E87" s="5"/>
    </row>
    <row r="88" ht="14.25" customHeight="1">
      <c r="A88" s="6" t="s">
        <v>266</v>
      </c>
      <c r="B88" s="7" t="s">
        <v>267</v>
      </c>
      <c r="C88" s="6" t="s">
        <v>168</v>
      </c>
      <c r="D88" s="8" t="s">
        <v>168</v>
      </c>
    </row>
    <row r="89" ht="14.25" customHeight="1">
      <c r="A89" s="6" t="s">
        <v>268</v>
      </c>
      <c r="B89" s="7" t="s">
        <v>269</v>
      </c>
      <c r="C89" s="9" t="s">
        <v>270</v>
      </c>
      <c r="D89" s="10" t="s">
        <v>15</v>
      </c>
      <c r="E89" s="5"/>
    </row>
    <row r="90" ht="14.25" customHeight="1">
      <c r="A90" s="6" t="s">
        <v>271</v>
      </c>
      <c r="B90" s="7" t="s">
        <v>272</v>
      </c>
      <c r="C90" s="6" t="s">
        <v>168</v>
      </c>
      <c r="D90" s="8" t="s">
        <v>168</v>
      </c>
    </row>
    <row r="91" ht="14.25" customHeight="1">
      <c r="A91" s="6" t="s">
        <v>273</v>
      </c>
      <c r="B91" s="7" t="s">
        <v>274</v>
      </c>
      <c r="C91" s="9" t="s">
        <v>275</v>
      </c>
      <c r="D91" s="10" t="s">
        <v>15</v>
      </c>
      <c r="E91" s="5"/>
    </row>
    <row r="92" ht="14.25" customHeight="1">
      <c r="A92" s="6" t="s">
        <v>276</v>
      </c>
      <c r="B92" s="7" t="s">
        <v>277</v>
      </c>
      <c r="C92" s="9" t="s">
        <v>278</v>
      </c>
      <c r="D92" s="10" t="s">
        <v>35</v>
      </c>
      <c r="E92" s="5"/>
    </row>
    <row r="93" ht="14.25" customHeight="1">
      <c r="A93" s="6" t="s">
        <v>279</v>
      </c>
      <c r="B93" s="7" t="s">
        <v>280</v>
      </c>
      <c r="C93" s="9" t="s">
        <v>281</v>
      </c>
      <c r="D93" s="10" t="s">
        <v>35</v>
      </c>
      <c r="E93" s="5"/>
    </row>
    <row r="94" ht="14.25" customHeight="1">
      <c r="A94" s="9" t="s">
        <v>282</v>
      </c>
      <c r="B94" s="12" t="s">
        <v>283</v>
      </c>
      <c r="C94" s="9" t="s">
        <v>284</v>
      </c>
      <c r="D94" s="10" t="s">
        <v>35</v>
      </c>
      <c r="E94" s="5"/>
    </row>
    <row r="95" ht="14.25" customHeight="1">
      <c r="A95" s="6" t="s">
        <v>285</v>
      </c>
      <c r="B95" s="7" t="s">
        <v>286</v>
      </c>
      <c r="C95" s="6" t="s">
        <v>287</v>
      </c>
      <c r="D95" s="8" t="s">
        <v>19</v>
      </c>
      <c r="E95" s="5"/>
    </row>
    <row r="96" ht="14.25" customHeight="1">
      <c r="A96" s="6" t="s">
        <v>288</v>
      </c>
      <c r="B96" s="7" t="s">
        <v>289</v>
      </c>
      <c r="C96" s="6" t="s">
        <v>168</v>
      </c>
      <c r="D96" s="8" t="s">
        <v>168</v>
      </c>
    </row>
    <row r="97" ht="14.25" customHeight="1">
      <c r="A97" s="6" t="s">
        <v>290</v>
      </c>
      <c r="B97" s="7" t="s">
        <v>291</v>
      </c>
      <c r="C97" s="6" t="s">
        <v>168</v>
      </c>
      <c r="D97" s="8" t="s">
        <v>168</v>
      </c>
    </row>
    <row r="98" ht="14.25" customHeight="1">
      <c r="A98" s="6" t="s">
        <v>292</v>
      </c>
      <c r="B98" s="7" t="s">
        <v>293</v>
      </c>
      <c r="C98" s="6" t="s">
        <v>294</v>
      </c>
      <c r="D98" s="8" t="s">
        <v>295</v>
      </c>
      <c r="E98" s="5" t="s">
        <v>24</v>
      </c>
    </row>
    <row r="99" ht="14.25" customHeight="1">
      <c r="A99" s="6" t="s">
        <v>296</v>
      </c>
      <c r="B99" s="7" t="s">
        <v>297</v>
      </c>
      <c r="C99" s="6" t="s">
        <v>298</v>
      </c>
      <c r="D99" s="8" t="s">
        <v>104</v>
      </c>
      <c r="E99" s="5"/>
    </row>
    <row r="100" ht="14.25" customHeight="1">
      <c r="A100" s="6" t="s">
        <v>299</v>
      </c>
      <c r="B100" s="7" t="s">
        <v>300</v>
      </c>
      <c r="C100" s="6" t="s">
        <v>301</v>
      </c>
      <c r="D100" s="8" t="s">
        <v>143</v>
      </c>
    </row>
    <row r="101" ht="14.25" customHeight="1">
      <c r="A101" s="6" t="s">
        <v>302</v>
      </c>
      <c r="B101" s="7" t="s">
        <v>303</v>
      </c>
      <c r="C101" s="9" t="s">
        <v>304</v>
      </c>
      <c r="D101" s="10" t="s">
        <v>15</v>
      </c>
      <c r="E101" s="5"/>
    </row>
    <row r="102" ht="14.25" customHeight="1">
      <c r="A102" s="6" t="s">
        <v>305</v>
      </c>
      <c r="B102" s="7" t="s">
        <v>306</v>
      </c>
      <c r="C102" s="9" t="s">
        <v>307</v>
      </c>
      <c r="D102" s="10" t="s">
        <v>35</v>
      </c>
      <c r="E102" s="5"/>
    </row>
    <row r="103" ht="14.25" customHeight="1">
      <c r="A103" s="6" t="s">
        <v>308</v>
      </c>
      <c r="B103" s="7" t="s">
        <v>309</v>
      </c>
      <c r="C103" s="6" t="s">
        <v>168</v>
      </c>
      <c r="D103" s="8" t="s">
        <v>168</v>
      </c>
    </row>
    <row r="104" ht="14.25" customHeight="1">
      <c r="A104" s="6" t="s">
        <v>310</v>
      </c>
      <c r="B104" s="7" t="s">
        <v>311</v>
      </c>
      <c r="C104" s="9" t="s">
        <v>312</v>
      </c>
      <c r="D104" s="10" t="s">
        <v>19</v>
      </c>
      <c r="E104" s="5"/>
    </row>
    <row r="105" ht="14.25" customHeight="1">
      <c r="A105" s="6" t="s">
        <v>313</v>
      </c>
      <c r="B105" s="7" t="s">
        <v>314</v>
      </c>
      <c r="C105" s="6" t="s">
        <v>315</v>
      </c>
      <c r="D105" s="8" t="s">
        <v>162</v>
      </c>
      <c r="E105" s="5"/>
    </row>
    <row r="106" ht="14.25" customHeight="1">
      <c r="A106" s="6" t="s">
        <v>316</v>
      </c>
      <c r="B106" s="7" t="s">
        <v>317</v>
      </c>
      <c r="C106" s="9" t="s">
        <v>318</v>
      </c>
      <c r="D106" s="10" t="s">
        <v>31</v>
      </c>
      <c r="E106" s="5"/>
    </row>
    <row r="107" ht="14.25" customHeight="1">
      <c r="A107" s="9" t="s">
        <v>319</v>
      </c>
      <c r="B107" s="12" t="s">
        <v>320</v>
      </c>
      <c r="C107" s="11" t="s">
        <v>321</v>
      </c>
      <c r="D107" s="10" t="s">
        <v>182</v>
      </c>
      <c r="E107" s="5"/>
    </row>
    <row r="108" ht="14.25" customHeight="1">
      <c r="A108" s="6" t="s">
        <v>322</v>
      </c>
      <c r="B108" s="7" t="s">
        <v>323</v>
      </c>
      <c r="C108" s="18" t="s">
        <v>324</v>
      </c>
      <c r="D108" s="8" t="s">
        <v>162</v>
      </c>
      <c r="E108" s="5"/>
    </row>
    <row r="109" ht="14.25" customHeight="1">
      <c r="A109" s="6" t="s">
        <v>325</v>
      </c>
      <c r="B109" s="7" t="s">
        <v>326</v>
      </c>
      <c r="C109" s="9" t="s">
        <v>327</v>
      </c>
      <c r="D109" s="10" t="s">
        <v>31</v>
      </c>
      <c r="E109" s="5"/>
    </row>
    <row r="110" ht="14.25" customHeight="1">
      <c r="A110" s="6" t="s">
        <v>328</v>
      </c>
      <c r="B110" s="7" t="s">
        <v>329</v>
      </c>
      <c r="C110" s="9" t="s">
        <v>330</v>
      </c>
      <c r="D110" s="10" t="s">
        <v>15</v>
      </c>
      <c r="E110" s="5"/>
    </row>
    <row r="111" ht="14.25" customHeight="1">
      <c r="A111" s="6" t="s">
        <v>331</v>
      </c>
      <c r="B111" s="7" t="s">
        <v>332</v>
      </c>
      <c r="C111" s="6" t="s">
        <v>333</v>
      </c>
      <c r="D111" s="8" t="s">
        <v>23</v>
      </c>
      <c r="E111" s="5" t="s">
        <v>24</v>
      </c>
    </row>
    <row r="112" ht="14.25" customHeight="1">
      <c r="A112" s="6" t="s">
        <v>334</v>
      </c>
      <c r="B112" s="7" t="s">
        <v>335</v>
      </c>
      <c r="C112" s="9" t="s">
        <v>336</v>
      </c>
      <c r="D112" s="10" t="s">
        <v>337</v>
      </c>
      <c r="E112" s="5"/>
    </row>
    <row r="113" ht="14.25" customHeight="1">
      <c r="A113" s="6" t="s">
        <v>338</v>
      </c>
      <c r="B113" s="7" t="s">
        <v>339</v>
      </c>
      <c r="C113" s="9" t="s">
        <v>340</v>
      </c>
      <c r="D113" s="10" t="s">
        <v>35</v>
      </c>
      <c r="E113" s="5"/>
    </row>
    <row r="114" ht="14.25" customHeight="1">
      <c r="A114" s="6" t="s">
        <v>341</v>
      </c>
      <c r="B114" s="7" t="s">
        <v>342</v>
      </c>
      <c r="C114" s="6" t="s">
        <v>168</v>
      </c>
      <c r="D114" s="8" t="s">
        <v>168</v>
      </c>
    </row>
    <row r="115" ht="14.25" customHeight="1">
      <c r="A115" s="6" t="s">
        <v>343</v>
      </c>
      <c r="B115" s="7" t="s">
        <v>344</v>
      </c>
      <c r="C115" s="6" t="s">
        <v>168</v>
      </c>
      <c r="D115" s="8" t="s">
        <v>168</v>
      </c>
    </row>
    <row r="116" ht="14.25" customHeight="1">
      <c r="A116" s="6" t="s">
        <v>345</v>
      </c>
      <c r="B116" s="7" t="s">
        <v>346</v>
      </c>
      <c r="C116" s="6" t="s">
        <v>347</v>
      </c>
      <c r="D116" s="8" t="s">
        <v>19</v>
      </c>
      <c r="E116" s="5"/>
    </row>
    <row r="117" ht="14.25" customHeight="1">
      <c r="A117" s="6" t="s">
        <v>348</v>
      </c>
      <c r="B117" s="7" t="s">
        <v>349</v>
      </c>
      <c r="C117" s="6" t="s">
        <v>350</v>
      </c>
      <c r="D117" s="8" t="s">
        <v>19</v>
      </c>
      <c r="E117" s="5"/>
    </row>
    <row r="118" ht="14.25" customHeight="1">
      <c r="A118" s="6" t="s">
        <v>351</v>
      </c>
      <c r="B118" s="7" t="s">
        <v>352</v>
      </c>
      <c r="C118" s="9" t="s">
        <v>353</v>
      </c>
      <c r="D118" s="10" t="s">
        <v>15</v>
      </c>
      <c r="E118" s="5"/>
    </row>
    <row r="119" ht="14.25" customHeight="1">
      <c r="A119" s="6" t="s">
        <v>354</v>
      </c>
      <c r="B119" s="7" t="s">
        <v>355</v>
      </c>
      <c r="C119" s="9" t="s">
        <v>356</v>
      </c>
      <c r="D119" s="10" t="s">
        <v>70</v>
      </c>
      <c r="E119" s="5"/>
    </row>
    <row r="120" ht="14.25" customHeight="1">
      <c r="A120" s="6" t="s">
        <v>357</v>
      </c>
      <c r="B120" s="7" t="s">
        <v>358</v>
      </c>
      <c r="C120" s="6" t="s">
        <v>359</v>
      </c>
      <c r="D120" s="8" t="s">
        <v>19</v>
      </c>
      <c r="E120" s="5"/>
    </row>
    <row r="121" ht="14.25" customHeight="1">
      <c r="A121" s="6" t="s">
        <v>360</v>
      </c>
      <c r="B121" s="7" t="s">
        <v>361</v>
      </c>
      <c r="C121" s="6" t="s">
        <v>362</v>
      </c>
      <c r="D121" s="8" t="s">
        <v>108</v>
      </c>
    </row>
    <row r="122" ht="14.25" customHeight="1">
      <c r="A122" s="6" t="s">
        <v>363</v>
      </c>
      <c r="B122" s="7" t="s">
        <v>364</v>
      </c>
      <c r="C122" s="9" t="s">
        <v>365</v>
      </c>
      <c r="D122" s="10" t="s">
        <v>35</v>
      </c>
      <c r="E122" s="5"/>
    </row>
    <row r="123" ht="14.25" customHeight="1">
      <c r="A123" s="6" t="s">
        <v>366</v>
      </c>
      <c r="B123" s="7" t="s">
        <v>367</v>
      </c>
      <c r="C123" s="9" t="s">
        <v>368</v>
      </c>
      <c r="D123" s="10" t="s">
        <v>19</v>
      </c>
      <c r="E123" s="5"/>
    </row>
    <row r="124" ht="14.25" customHeight="1">
      <c r="A124" s="6" t="s">
        <v>369</v>
      </c>
      <c r="B124" s="7" t="s">
        <v>370</v>
      </c>
      <c r="C124" s="6" t="s">
        <v>168</v>
      </c>
      <c r="D124" s="8" t="s">
        <v>168</v>
      </c>
    </row>
    <row r="125" ht="14.25" customHeight="1">
      <c r="A125" s="6" t="s">
        <v>371</v>
      </c>
      <c r="B125" s="7" t="s">
        <v>372</v>
      </c>
      <c r="C125" s="9" t="s">
        <v>373</v>
      </c>
      <c r="D125" s="10" t="s">
        <v>35</v>
      </c>
      <c r="E125" s="5"/>
    </row>
    <row r="126" ht="14.25" customHeight="1">
      <c r="A126" s="6" t="s">
        <v>374</v>
      </c>
      <c r="B126" s="7" t="s">
        <v>375</v>
      </c>
      <c r="C126" s="18" t="s">
        <v>376</v>
      </c>
      <c r="D126" s="8" t="s">
        <v>377</v>
      </c>
    </row>
    <row r="127" ht="14.25" customHeight="1">
      <c r="A127" s="6" t="s">
        <v>378</v>
      </c>
      <c r="B127" s="7" t="s">
        <v>379</v>
      </c>
      <c r="C127" s="9" t="s">
        <v>380</v>
      </c>
      <c r="D127" s="10" t="s">
        <v>15</v>
      </c>
      <c r="E127" s="5"/>
    </row>
    <row r="128" ht="14.25" customHeight="1">
      <c r="A128" s="6" t="s">
        <v>381</v>
      </c>
      <c r="B128" s="7" t="s">
        <v>379</v>
      </c>
      <c r="C128" s="6"/>
      <c r="D128" s="8"/>
    </row>
    <row r="129" ht="14.25" customHeight="1">
      <c r="A129" s="6" t="s">
        <v>382</v>
      </c>
      <c r="B129" s="7" t="s">
        <v>383</v>
      </c>
      <c r="C129" s="6" t="s">
        <v>384</v>
      </c>
      <c r="D129" s="8" t="s">
        <v>19</v>
      </c>
      <c r="E129" s="5"/>
    </row>
    <row r="130" ht="14.25" customHeight="1">
      <c r="A130" s="6" t="s">
        <v>385</v>
      </c>
      <c r="B130" s="7" t="s">
        <v>383</v>
      </c>
      <c r="C130" s="9" t="s">
        <v>384</v>
      </c>
      <c r="D130" s="10" t="s">
        <v>19</v>
      </c>
      <c r="E130" s="5"/>
    </row>
    <row r="131" ht="14.25" customHeight="1">
      <c r="A131" s="6" t="s">
        <v>386</v>
      </c>
      <c r="B131" s="7" t="s">
        <v>387</v>
      </c>
      <c r="C131" s="6" t="s">
        <v>388</v>
      </c>
      <c r="D131" s="8" t="s">
        <v>23</v>
      </c>
      <c r="E131" s="5"/>
    </row>
    <row r="132" ht="14.25" customHeight="1">
      <c r="A132" s="6" t="s">
        <v>389</v>
      </c>
      <c r="B132" s="7" t="s">
        <v>390</v>
      </c>
      <c r="C132" s="9" t="s">
        <v>391</v>
      </c>
      <c r="D132" s="10" t="s">
        <v>15</v>
      </c>
      <c r="E132" s="5"/>
    </row>
    <row r="133" ht="14.25" customHeight="1">
      <c r="A133" s="6" t="s">
        <v>392</v>
      </c>
      <c r="B133" s="7" t="s">
        <v>393</v>
      </c>
      <c r="C133" s="6" t="s">
        <v>394</v>
      </c>
      <c r="D133" s="8" t="s">
        <v>108</v>
      </c>
      <c r="E133" s="5"/>
    </row>
    <row r="134" ht="14.25" customHeight="1">
      <c r="A134" s="6" t="s">
        <v>395</v>
      </c>
      <c r="B134" s="7" t="s">
        <v>396</v>
      </c>
      <c r="C134" s="9" t="s">
        <v>397</v>
      </c>
      <c r="D134" s="10" t="s">
        <v>15</v>
      </c>
      <c r="E134" s="5"/>
    </row>
    <row r="135" ht="14.25" customHeight="1">
      <c r="A135" s="6" t="s">
        <v>398</v>
      </c>
      <c r="B135" s="7" t="s">
        <v>396</v>
      </c>
      <c r="C135" s="6"/>
      <c r="D135" s="8"/>
    </row>
    <row r="136" ht="14.25" customHeight="1">
      <c r="A136" s="6" t="s">
        <v>399</v>
      </c>
      <c r="B136" s="7" t="s">
        <v>400</v>
      </c>
      <c r="C136" s="18" t="s">
        <v>401</v>
      </c>
      <c r="D136" s="8" t="s">
        <v>19</v>
      </c>
      <c r="E136" s="5"/>
    </row>
    <row r="137" ht="14.25" customHeight="1">
      <c r="A137" s="13" t="s">
        <v>402</v>
      </c>
      <c r="B137" s="14" t="s">
        <v>403</v>
      </c>
      <c r="C137" s="15" t="s">
        <v>404</v>
      </c>
      <c r="D137" s="16" t="s">
        <v>70</v>
      </c>
    </row>
    <row r="138" ht="14.25" customHeight="1">
      <c r="A138" s="6" t="s">
        <v>405</v>
      </c>
      <c r="B138" s="7" t="s">
        <v>406</v>
      </c>
      <c r="C138" s="6" t="s">
        <v>407</v>
      </c>
      <c r="D138" s="8" t="s">
        <v>19</v>
      </c>
    </row>
    <row r="139" ht="14.25" customHeight="1">
      <c r="A139" s="6" t="s">
        <v>408</v>
      </c>
      <c r="B139" s="7" t="s">
        <v>409</v>
      </c>
      <c r="C139" s="9" t="s">
        <v>410</v>
      </c>
      <c r="D139" s="10" t="s">
        <v>31</v>
      </c>
      <c r="E139" s="5"/>
    </row>
    <row r="140" ht="14.25" customHeight="1">
      <c r="A140" s="6" t="s">
        <v>411</v>
      </c>
      <c r="B140" s="7" t="s">
        <v>412</v>
      </c>
      <c r="C140" s="9" t="s">
        <v>413</v>
      </c>
      <c r="D140" s="10" t="s">
        <v>35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417</v>
      </c>
      <c r="E141" s="5"/>
    </row>
    <row r="142" ht="14.25" customHeight="1">
      <c r="A142" s="6" t="s">
        <v>418</v>
      </c>
      <c r="B142" s="7" t="s">
        <v>419</v>
      </c>
      <c r="C142" s="9" t="s">
        <v>420</v>
      </c>
      <c r="D142" s="10" t="s">
        <v>15</v>
      </c>
      <c r="E142" s="5"/>
    </row>
    <row r="143" ht="14.25" customHeight="1">
      <c r="A143" s="6" t="s">
        <v>421</v>
      </c>
      <c r="B143" s="7" t="s">
        <v>422</v>
      </c>
      <c r="C143" s="9" t="s">
        <v>423</v>
      </c>
      <c r="D143" s="10" t="s">
        <v>15</v>
      </c>
      <c r="E143" s="5"/>
    </row>
    <row r="144" ht="14.25" customHeight="1">
      <c r="A144" s="6" t="s">
        <v>424</v>
      </c>
      <c r="B144" s="7" t="s">
        <v>425</v>
      </c>
      <c r="C144" s="6" t="s">
        <v>426</v>
      </c>
      <c r="D144" s="8" t="s">
        <v>162</v>
      </c>
      <c r="E144" s="5"/>
    </row>
    <row r="145" ht="14.25" customHeight="1">
      <c r="A145" s="6" t="s">
        <v>427</v>
      </c>
      <c r="B145" s="7" t="s">
        <v>428</v>
      </c>
      <c r="C145" s="6" t="s">
        <v>168</v>
      </c>
      <c r="D145" s="8" t="s">
        <v>168</v>
      </c>
    </row>
    <row r="146" ht="14.25" customHeight="1">
      <c r="A146" s="6" t="s">
        <v>429</v>
      </c>
      <c r="B146" s="7" t="s">
        <v>430</v>
      </c>
      <c r="C146" s="6" t="s">
        <v>168</v>
      </c>
      <c r="D146" s="8" t="s">
        <v>168</v>
      </c>
    </row>
    <row r="147" ht="14.25" customHeight="1">
      <c r="A147" s="6" t="s">
        <v>431</v>
      </c>
      <c r="B147" s="7" t="s">
        <v>432</v>
      </c>
      <c r="C147" s="11" t="s">
        <v>433</v>
      </c>
      <c r="D147" s="10" t="s">
        <v>15</v>
      </c>
      <c r="E147" s="5"/>
    </row>
    <row r="148" ht="14.25" customHeight="1">
      <c r="A148" s="6" t="s">
        <v>434</v>
      </c>
      <c r="B148" s="7" t="s">
        <v>435</v>
      </c>
      <c r="C148" s="9" t="s">
        <v>436</v>
      </c>
      <c r="D148" s="10" t="s">
        <v>15</v>
      </c>
      <c r="E148" s="5"/>
    </row>
    <row r="149" ht="14.25" customHeight="1">
      <c r="A149" s="9" t="s">
        <v>437</v>
      </c>
      <c r="B149" s="7" t="s">
        <v>438</v>
      </c>
      <c r="C149" s="9" t="s">
        <v>439</v>
      </c>
      <c r="D149" s="10" t="s">
        <v>19</v>
      </c>
      <c r="E149" s="5"/>
    </row>
    <row r="150" ht="14.25" customHeight="1">
      <c r="A150" s="6" t="s">
        <v>440</v>
      </c>
      <c r="B150" s="7" t="s">
        <v>441</v>
      </c>
      <c r="C150" s="6" t="s">
        <v>168</v>
      </c>
      <c r="D150" s="8" t="s">
        <v>168</v>
      </c>
    </row>
    <row r="151" ht="14.25" customHeight="1">
      <c r="A151" s="6" t="s">
        <v>442</v>
      </c>
      <c r="B151" s="7" t="s">
        <v>443</v>
      </c>
      <c r="C151" s="6" t="s">
        <v>444</v>
      </c>
      <c r="D151" s="8" t="s">
        <v>19</v>
      </c>
    </row>
    <row r="152" ht="14.25" customHeight="1">
      <c r="A152" s="19" t="s">
        <v>445</v>
      </c>
      <c r="B152" s="19" t="s">
        <v>446</v>
      </c>
      <c r="C152" s="20" t="str">
        <f t="array" ref="C152">XLOOKUP(A152,Kits!$C:$C,Kits!$E:$E)</f>
        <v>2025210BLEFA</v>
      </c>
      <c r="D152" s="21" t="str">
        <f t="array" ref="D152">XLOOKUP(A152,Kits!$C:$C,Kits!$F:$F)</f>
        <v>02/27</v>
      </c>
    </row>
    <row r="153" ht="14.25" customHeight="1">
      <c r="A153" s="13" t="s">
        <v>447</v>
      </c>
      <c r="B153" s="22" t="s">
        <v>448</v>
      </c>
      <c r="C153" s="20" t="str">
        <f t="array" ref="C153">XLOOKUP(A153,Kits!$C:$C,Kits!$E:$E)</f>
        <v>20252207BLEFL</v>
      </c>
      <c r="D153" s="21" t="str">
        <f t="array" ref="D153">XLOOKUP(A153,Kits!$C:$C,Kits!$F:$F)</f>
        <v>07/27</v>
      </c>
    </row>
    <row r="154" ht="14.25" customHeight="1">
      <c r="A154" s="19" t="s">
        <v>449</v>
      </c>
      <c r="B154" s="19" t="s">
        <v>450</v>
      </c>
      <c r="C154" s="20" t="str">
        <f t="array" ref="C154">XLOOKUP(A154,Kits!$C:$C,Kits!$E:$E)</f>
        <v>20252207BLEMA</v>
      </c>
      <c r="D154" s="21" t="str">
        <f t="array" ref="D154">XLOOKUP(A154,Kits!$C:$C,Kits!$F:$F)</f>
        <v>07/27</v>
      </c>
    </row>
    <row r="155" ht="14.25" customHeight="1">
      <c r="A155" s="19" t="s">
        <v>451</v>
      </c>
      <c r="B155" s="19" t="s">
        <v>452</v>
      </c>
      <c r="C155" s="20" t="str">
        <f t="array" ref="C155">XLOOKUP(A155,Kits!$C:$C,Kits!$E:$E)</f>
        <v>20252602BLESR</v>
      </c>
      <c r="D155" s="21" t="str">
        <f t="array" ref="D155">XLOOKUP(A155,Kits!$C:$C,Kits!$F:$F)</f>
        <v>02/27</v>
      </c>
    </row>
    <row r="156" ht="14.25" customHeight="1">
      <c r="A156" s="19" t="s">
        <v>453</v>
      </c>
      <c r="B156" s="19" t="s">
        <v>454</v>
      </c>
      <c r="C156" s="20" t="str">
        <f t="array" ref="C156">XLOOKUP(A156,Kits!$C:$C,Kits!$E:$E)</f>
        <v>OLFA2506</v>
      </c>
      <c r="D156" s="21" t="str">
        <f t="array" ref="D156">XLOOKUP(A156,Kits!$C:$C,Kits!$F:$F)</f>
        <v>06/27</v>
      </c>
    </row>
    <row r="157" ht="14.25" customHeight="1">
      <c r="A157" s="19" t="s">
        <v>455</v>
      </c>
      <c r="B157" s="19" t="s">
        <v>456</v>
      </c>
      <c r="C157" s="20" t="str">
        <f t="array" ref="C157">XLOOKUP(A157,Kits!$C:$C,Kits!$E:$E)</f>
        <v>OLFL2510</v>
      </c>
      <c r="D157" s="21" t="str">
        <f t="array" ref="D157">XLOOKUP(A157,Kits!$C:$C,Kits!$F:$F)</f>
        <v>10/27</v>
      </c>
    </row>
    <row r="158" ht="14.25" customHeight="1">
      <c r="A158" s="19" t="s">
        <v>457</v>
      </c>
      <c r="B158" s="19" t="s">
        <v>458</v>
      </c>
      <c r="C158" s="20" t="str">
        <f t="array" ref="C158">XLOOKUP(A158,Kits!$C:$C,Kits!$E:$E)</f>
        <v>OLIN2508</v>
      </c>
      <c r="D158" s="21" t="str">
        <f t="array" ref="D158">XLOOKUP(A158,Kits!$C:$C,Kits!$F:$F)</f>
        <v>08/27</v>
      </c>
    </row>
    <row r="159" ht="14.25" customHeight="1">
      <c r="A159" s="19" t="s">
        <v>459</v>
      </c>
      <c r="B159" s="19" t="s">
        <v>460</v>
      </c>
      <c r="C159" s="20" t="str">
        <f t="array" ref="C159">XLOOKUP(A159,Kits!$C:$C,Kits!$E:$E)</f>
        <v>OLLA2511</v>
      </c>
      <c r="D159" s="21" t="str">
        <f t="array" ref="D159">XLOOKUP(A159,Kits!$C:$C,Kits!$F:$F)</f>
        <v>11/27</v>
      </c>
    </row>
    <row r="160" ht="14.25" customHeight="1">
      <c r="A160" s="19" t="s">
        <v>461</v>
      </c>
      <c r="B160" s="19" t="s">
        <v>462</v>
      </c>
      <c r="C160" s="20" t="str">
        <f t="array" ref="C160">XLOOKUP(A160,Kits!$C:$C,Kits!$E:$E)</f>
        <v>OLMP2512</v>
      </c>
      <c r="D160" s="21" t="str">
        <f t="array" ref="D160">XLOOKUP(A160,Kits!$C:$C,Kits!$F:$F)</f>
        <v>12/27</v>
      </c>
    </row>
    <row r="161" ht="14.25" customHeight="1">
      <c r="A161" s="19" t="s">
        <v>463</v>
      </c>
      <c r="B161" s="19" t="s">
        <v>464</v>
      </c>
      <c r="C161" s="20" t="str">
        <f t="array" ref="C161">XLOOKUP(A161,Kits!$C:$C,Kits!$E:$E)</f>
        <v>OLMC</v>
      </c>
      <c r="D161" s="21" t="str">
        <f t="array" ref="D161">XLOOKUP(A161,Kits!$C:$C,Kits!$F:$F)</f>
        <v>12/27</v>
      </c>
    </row>
    <row r="162" ht="14.25" customHeight="1">
      <c r="A162" s="19" t="s">
        <v>465</v>
      </c>
      <c r="B162" s="19" t="s">
        <v>466</v>
      </c>
      <c r="C162" s="20" t="str">
        <f t="array" ref="C162">XLOOKUP(A162,Kits!$C:$C,Kits!$E:$E)</f>
        <v>OLPV2510</v>
      </c>
      <c r="D162" s="21" t="str">
        <f t="array" ref="D162">XLOOKUP(A162,Kits!$C:$C,Kits!$F:$F)</f>
        <v>10/27</v>
      </c>
    </row>
    <row r="163" ht="14.25" customHeight="1">
      <c r="A163" s="19" t="s">
        <v>467</v>
      </c>
      <c r="B163" s="19" t="s">
        <v>468</v>
      </c>
      <c r="C163" s="20" t="str">
        <f t="array" ref="C163">XLOOKUP(A163,Kits!$C:$C,Kits!$E:$E)</f>
        <v>OLSR2510</v>
      </c>
      <c r="D163" s="21" t="str">
        <f t="array" ref="D163">XLOOKUP(A163,Kits!$C:$C,Kits!$F:$F)</f>
        <v>10/27</v>
      </c>
    </row>
    <row r="164" ht="14.25" customHeight="1">
      <c r="A164" s="6" t="s">
        <v>469</v>
      </c>
      <c r="B164" s="7" t="s">
        <v>470</v>
      </c>
      <c r="C164" s="6" t="s">
        <v>471</v>
      </c>
      <c r="D164" s="8" t="s">
        <v>182</v>
      </c>
      <c r="E164" s="5"/>
    </row>
    <row r="165" ht="14.25" customHeight="1">
      <c r="A165" s="6" t="s">
        <v>472</v>
      </c>
      <c r="B165" s="7" t="s">
        <v>473</v>
      </c>
      <c r="C165" s="6" t="s">
        <v>474</v>
      </c>
      <c r="D165" s="8" t="s">
        <v>162</v>
      </c>
      <c r="E165" s="5"/>
    </row>
    <row r="166" ht="14.25" customHeight="1">
      <c r="A166" s="13" t="s">
        <v>475</v>
      </c>
      <c r="B166" s="22" t="s">
        <v>476</v>
      </c>
      <c r="C166" s="13" t="s">
        <v>99</v>
      </c>
      <c r="D166" s="17" t="s">
        <v>253</v>
      </c>
    </row>
    <row r="167" ht="14.25" customHeight="1">
      <c r="A167" s="19" t="s">
        <v>477</v>
      </c>
      <c r="B167" s="19" t="s">
        <v>478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479</v>
      </c>
      <c r="B168" s="22" t="s">
        <v>480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481</v>
      </c>
      <c r="B169" s="19" t="s">
        <v>482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">
        <v>487</v>
      </c>
      <c r="D171" s="21" t="str">
        <f t="array" ref="D171">XLOOKUP(A171,Kits!$C:$C,Kits!$F:$F)</f>
        <v>01/29</v>
      </c>
    </row>
    <row r="172" ht="14.25" customHeight="1">
      <c r="A172" s="19" t="s">
        <v>488</v>
      </c>
      <c r="B172" s="19" t="s">
        <v>489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490</v>
      </c>
      <c r="B173" s="7" t="s">
        <v>491</v>
      </c>
      <c r="C173" s="6" t="s">
        <v>168</v>
      </c>
      <c r="D173" s="8" t="s">
        <v>168</v>
      </c>
    </row>
    <row r="174" ht="14.25" customHeight="1">
      <c r="A174" s="13" t="s">
        <v>492</v>
      </c>
      <c r="B174" s="22" t="s">
        <v>493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494</v>
      </c>
      <c r="B175" s="19" t="s">
        <v>495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496</v>
      </c>
      <c r="B176" s="19" t="s">
        <v>497</v>
      </c>
      <c r="C176" s="24" t="s">
        <v>498</v>
      </c>
      <c r="D176" s="25" t="s">
        <v>239</v>
      </c>
      <c r="E176" s="5"/>
    </row>
    <row r="177" ht="14.25" customHeight="1">
      <c r="A177" s="19" t="s">
        <v>499</v>
      </c>
      <c r="B177" s="19" t="s">
        <v>500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/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/>
    </row>
    <row r="182" ht="14.25" customHeight="1">
      <c r="A182" s="6" t="s">
        <v>509</v>
      </c>
      <c r="B182" s="7" t="s">
        <v>510</v>
      </c>
      <c r="C182" s="11" t="s">
        <v>511</v>
      </c>
      <c r="D182" s="10" t="s">
        <v>19</v>
      </c>
      <c r="E182" s="5"/>
    </row>
    <row r="183" ht="14.25" customHeight="1">
      <c r="A183" s="19" t="s">
        <v>512</v>
      </c>
      <c r="B183" s="19" t="s">
        <v>513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514</v>
      </c>
      <c r="B184" s="7" t="s">
        <v>515</v>
      </c>
      <c r="C184" s="6" t="s">
        <v>516</v>
      </c>
      <c r="D184" s="8" t="s">
        <v>182</v>
      </c>
      <c r="E184" s="5"/>
    </row>
    <row r="185" ht="14.25" customHeight="1">
      <c r="A185" s="6" t="s">
        <v>517</v>
      </c>
      <c r="B185" s="7" t="s">
        <v>518</v>
      </c>
      <c r="C185" s="9" t="s">
        <v>519</v>
      </c>
      <c r="D185" s="10" t="s">
        <v>520</v>
      </c>
      <c r="E185" s="5"/>
    </row>
    <row r="186" ht="14.25" customHeight="1">
      <c r="A186" s="6" t="s">
        <v>521</v>
      </c>
      <c r="B186" s="7" t="s">
        <v>522</v>
      </c>
      <c r="C186" s="9" t="s">
        <v>523</v>
      </c>
      <c r="D186" s="10" t="s">
        <v>524</v>
      </c>
      <c r="E186" s="5"/>
    </row>
    <row r="187" ht="14.25" customHeight="1">
      <c r="A187" s="6" t="s">
        <v>525</v>
      </c>
      <c r="B187" s="7" t="s">
        <v>526</v>
      </c>
      <c r="C187" s="6" t="s">
        <v>527</v>
      </c>
      <c r="D187" s="8" t="s">
        <v>182</v>
      </c>
      <c r="E187" s="5"/>
    </row>
    <row r="188" ht="14.25" customHeight="1">
      <c r="A188" s="6" t="s">
        <v>528</v>
      </c>
      <c r="B188" s="7" t="s">
        <v>529</v>
      </c>
      <c r="C188" s="6" t="s">
        <v>530</v>
      </c>
      <c r="D188" s="8" t="s">
        <v>377</v>
      </c>
    </row>
    <row r="189" ht="14.25" customHeight="1">
      <c r="A189" s="6" t="s">
        <v>531</v>
      </c>
      <c r="B189" s="7" t="s">
        <v>532</v>
      </c>
      <c r="C189" s="9" t="s">
        <v>533</v>
      </c>
      <c r="D189" s="10" t="s">
        <v>520</v>
      </c>
      <c r="E189" s="5"/>
    </row>
    <row r="190" ht="14.25" customHeight="1">
      <c r="A190" s="6" t="s">
        <v>534</v>
      </c>
      <c r="B190" s="7" t="s">
        <v>535</v>
      </c>
      <c r="C190" s="9" t="s">
        <v>536</v>
      </c>
      <c r="D190" s="10" t="s">
        <v>143</v>
      </c>
      <c r="E190" s="5"/>
      <c r="F190" s="5" t="s">
        <v>201</v>
      </c>
    </row>
    <row r="191" ht="14.25" customHeight="1">
      <c r="A191" s="6" t="s">
        <v>537</v>
      </c>
      <c r="B191" s="7" t="s">
        <v>538</v>
      </c>
      <c r="C191" s="9" t="s">
        <v>539</v>
      </c>
      <c r="D191" s="10" t="s">
        <v>143</v>
      </c>
      <c r="E191" s="5"/>
      <c r="F191" s="5" t="s">
        <v>201</v>
      </c>
    </row>
    <row r="192" ht="14.25" customHeight="1">
      <c r="A192" s="6" t="s">
        <v>540</v>
      </c>
      <c r="B192" s="7" t="s">
        <v>541</v>
      </c>
      <c r="C192" s="9" t="s">
        <v>542</v>
      </c>
      <c r="D192" s="10" t="s">
        <v>104</v>
      </c>
      <c r="E192" s="5"/>
    </row>
    <row r="193" ht="14.25" customHeight="1">
      <c r="A193" s="6" t="s">
        <v>543</v>
      </c>
      <c r="B193" s="7" t="s">
        <v>541</v>
      </c>
      <c r="C193" s="6"/>
      <c r="D193" s="8"/>
    </row>
    <row r="194" ht="14.25" customHeight="1">
      <c r="A194" s="6" t="s">
        <v>544</v>
      </c>
      <c r="B194" s="26" t="s">
        <v>545</v>
      </c>
      <c r="C194" s="6" t="s">
        <v>546</v>
      </c>
      <c r="D194" s="8" t="s">
        <v>182</v>
      </c>
      <c r="E194" s="5"/>
    </row>
    <row r="195" ht="14.25" customHeight="1">
      <c r="A195" s="13" t="s">
        <v>547</v>
      </c>
      <c r="B195" s="14" t="s">
        <v>548</v>
      </c>
      <c r="C195" s="15" t="s">
        <v>549</v>
      </c>
      <c r="D195" s="16" t="s">
        <v>253</v>
      </c>
      <c r="E195" s="5"/>
    </row>
    <row r="196" ht="14.25" customHeight="1">
      <c r="A196" s="6" t="s">
        <v>550</v>
      </c>
      <c r="B196" s="7" t="s">
        <v>551</v>
      </c>
      <c r="C196" s="9" t="s">
        <v>552</v>
      </c>
      <c r="D196" s="10" t="s">
        <v>182</v>
      </c>
      <c r="E196" s="5"/>
    </row>
    <row r="197" ht="14.25" customHeight="1">
      <c r="A197" s="9" t="s">
        <v>553</v>
      </c>
      <c r="B197" s="27" t="s">
        <v>554</v>
      </c>
      <c r="C197" s="9" t="s">
        <v>555</v>
      </c>
      <c r="D197" s="6" t="s">
        <v>556</v>
      </c>
      <c r="E197" s="5"/>
    </row>
    <row r="198" ht="14.25" customHeight="1">
      <c r="A198" s="6" t="s">
        <v>557</v>
      </c>
      <c r="B198" s="7" t="s">
        <v>558</v>
      </c>
      <c r="C198" s="6" t="s">
        <v>559</v>
      </c>
      <c r="D198" s="10" t="s">
        <v>182</v>
      </c>
      <c r="E198" s="5"/>
    </row>
    <row r="199" ht="14.25" customHeight="1">
      <c r="A199" s="6" t="s">
        <v>560</v>
      </c>
      <c r="B199" s="7" t="s">
        <v>561</v>
      </c>
      <c r="C199" s="9" t="s">
        <v>562</v>
      </c>
      <c r="D199" s="10" t="s">
        <v>35</v>
      </c>
      <c r="E199" s="5"/>
    </row>
    <row r="200" ht="14.25" customHeight="1">
      <c r="A200" s="6" t="s">
        <v>563</v>
      </c>
      <c r="B200" s="7" t="s">
        <v>564</v>
      </c>
      <c r="C200" s="6" t="s">
        <v>161</v>
      </c>
      <c r="D200" s="8" t="s">
        <v>162</v>
      </c>
      <c r="E200" s="5"/>
    </row>
    <row r="201" ht="14.25" customHeight="1">
      <c r="A201" s="6" t="s">
        <v>565</v>
      </c>
      <c r="B201" s="7" t="s">
        <v>566</v>
      </c>
      <c r="C201" s="6" t="s">
        <v>567</v>
      </c>
      <c r="D201" s="8" t="s">
        <v>19</v>
      </c>
      <c r="E201" s="5"/>
    </row>
    <row r="202" ht="14.25" customHeight="1">
      <c r="A202" s="6" t="s">
        <v>568</v>
      </c>
      <c r="B202" s="7" t="s">
        <v>569</v>
      </c>
      <c r="C202" s="6" t="s">
        <v>168</v>
      </c>
      <c r="D202" s="8" t="s">
        <v>168</v>
      </c>
    </row>
    <row r="203" ht="14.25" customHeight="1">
      <c r="A203" s="6" t="s">
        <v>570</v>
      </c>
      <c r="B203" s="7" t="s">
        <v>571</v>
      </c>
      <c r="C203" s="9" t="s">
        <v>572</v>
      </c>
      <c r="D203" s="10" t="s">
        <v>520</v>
      </c>
      <c r="E203" s="5"/>
    </row>
    <row r="204" ht="14.25" customHeight="1">
      <c r="A204" s="6" t="s">
        <v>573</v>
      </c>
      <c r="B204" s="7" t="s">
        <v>574</v>
      </c>
      <c r="C204" s="9" t="s">
        <v>575</v>
      </c>
      <c r="D204" s="10" t="s">
        <v>15</v>
      </c>
      <c r="E204" s="5"/>
    </row>
    <row r="205" ht="14.25" customHeight="1">
      <c r="A205" s="6" t="s">
        <v>576</v>
      </c>
      <c r="B205" s="7" t="s">
        <v>577</v>
      </c>
      <c r="C205" s="9" t="s">
        <v>350</v>
      </c>
      <c r="D205" s="10" t="s">
        <v>19</v>
      </c>
      <c r="E205" s="5"/>
    </row>
    <row r="206" ht="14.25" customHeight="1">
      <c r="A206" s="13" t="s">
        <v>578</v>
      </c>
      <c r="B206" s="14" t="s">
        <v>579</v>
      </c>
      <c r="C206" s="13" t="s">
        <v>580</v>
      </c>
      <c r="D206" s="17" t="s">
        <v>197</v>
      </c>
    </row>
    <row r="207" ht="14.25" customHeight="1">
      <c r="A207" s="6" t="s">
        <v>581</v>
      </c>
      <c r="B207" s="7" t="s">
        <v>582</v>
      </c>
      <c r="C207" s="9" t="s">
        <v>583</v>
      </c>
      <c r="D207" s="10" t="s">
        <v>584</v>
      </c>
      <c r="E207" s="5"/>
    </row>
    <row r="208" ht="14.25" customHeight="1">
      <c r="A208" s="6" t="s">
        <v>585</v>
      </c>
      <c r="B208" s="7" t="s">
        <v>586</v>
      </c>
      <c r="C208" s="9" t="s">
        <v>587</v>
      </c>
      <c r="D208" s="10" t="s">
        <v>143</v>
      </c>
      <c r="E208" s="5"/>
    </row>
    <row r="209" ht="14.25" customHeight="1">
      <c r="A209" s="6" t="s">
        <v>588</v>
      </c>
      <c r="B209" s="7" t="s">
        <v>589</v>
      </c>
      <c r="C209" s="9" t="s">
        <v>590</v>
      </c>
      <c r="D209" s="10" t="s">
        <v>520</v>
      </c>
      <c r="E209" s="5"/>
    </row>
    <row r="210" ht="14.25" customHeight="1">
      <c r="A210" s="6" t="s">
        <v>591</v>
      </c>
      <c r="B210" s="7" t="s">
        <v>592</v>
      </c>
      <c r="C210" s="6" t="s">
        <v>593</v>
      </c>
      <c r="D210" s="8" t="s">
        <v>162</v>
      </c>
      <c r="E210" s="5"/>
    </row>
    <row r="211" ht="14.25" customHeight="1">
      <c r="A211" s="6" t="s">
        <v>594</v>
      </c>
      <c r="B211" s="7" t="s">
        <v>595</v>
      </c>
      <c r="C211" s="6" t="s">
        <v>168</v>
      </c>
      <c r="D211" s="8" t="s">
        <v>168</v>
      </c>
    </row>
    <row r="212" ht="14.25" customHeight="1">
      <c r="A212" s="6" t="s">
        <v>596</v>
      </c>
      <c r="B212" s="7" t="s">
        <v>597</v>
      </c>
      <c r="C212" s="9" t="s">
        <v>598</v>
      </c>
      <c r="D212" s="10" t="s">
        <v>197</v>
      </c>
      <c r="E212" s="5"/>
    </row>
    <row r="213" ht="14.25" customHeight="1">
      <c r="A213" s="6" t="s">
        <v>599</v>
      </c>
      <c r="B213" s="7" t="s">
        <v>600</v>
      </c>
      <c r="C213" s="6" t="s">
        <v>601</v>
      </c>
      <c r="D213" s="10" t="s">
        <v>182</v>
      </c>
      <c r="E213" s="5"/>
    </row>
    <row r="214" ht="14.25" customHeight="1">
      <c r="A214" s="6" t="s">
        <v>602</v>
      </c>
      <c r="B214" s="7" t="s">
        <v>603</v>
      </c>
      <c r="C214" s="9" t="s">
        <v>604</v>
      </c>
      <c r="D214" s="10" t="s">
        <v>520</v>
      </c>
      <c r="E214" s="5"/>
    </row>
    <row r="215" ht="14.25" customHeight="1">
      <c r="A215" s="13" t="s">
        <v>605</v>
      </c>
      <c r="B215" s="14" t="s">
        <v>606</v>
      </c>
      <c r="C215" s="13" t="s">
        <v>607</v>
      </c>
      <c r="D215" s="17" t="s">
        <v>608</v>
      </c>
      <c r="E215" s="5"/>
    </row>
    <row r="216" ht="14.25" customHeight="1">
      <c r="A216" s="6" t="s">
        <v>609</v>
      </c>
      <c r="B216" s="7" t="s">
        <v>610</v>
      </c>
      <c r="C216" s="6" t="s">
        <v>611</v>
      </c>
      <c r="D216" s="8" t="s">
        <v>162</v>
      </c>
      <c r="E216" s="5"/>
    </row>
    <row r="217" ht="14.25" customHeight="1">
      <c r="A217" s="6" t="s">
        <v>612</v>
      </c>
      <c r="B217" s="7" t="s">
        <v>613</v>
      </c>
      <c r="C217" s="6" t="s">
        <v>614</v>
      </c>
      <c r="D217" s="8" t="s">
        <v>19</v>
      </c>
      <c r="E217" s="5"/>
    </row>
    <row r="218" ht="14.25" customHeight="1">
      <c r="A218" s="6" t="s">
        <v>615</v>
      </c>
      <c r="B218" s="7" t="s">
        <v>616</v>
      </c>
      <c r="C218" s="6" t="s">
        <v>617</v>
      </c>
      <c r="D218" s="8" t="s">
        <v>417</v>
      </c>
      <c r="E218" s="5"/>
    </row>
    <row r="219" ht="14.25" customHeight="1">
      <c r="A219" s="6" t="s">
        <v>618</v>
      </c>
      <c r="B219" s="7" t="s">
        <v>619</v>
      </c>
      <c r="C219" s="6" t="s">
        <v>620</v>
      </c>
      <c r="D219" s="8" t="s">
        <v>182</v>
      </c>
      <c r="E219" s="5"/>
    </row>
    <row r="220" ht="14.25" customHeight="1">
      <c r="A220" s="6" t="s">
        <v>621</v>
      </c>
      <c r="B220" s="7" t="s">
        <v>622</v>
      </c>
      <c r="C220" s="9" t="s">
        <v>623</v>
      </c>
      <c r="D220" s="10" t="s">
        <v>143</v>
      </c>
      <c r="E220" s="5"/>
    </row>
    <row r="221" ht="14.25" customHeight="1">
      <c r="A221" s="6" t="s">
        <v>624</v>
      </c>
      <c r="B221" s="7" t="s">
        <v>625</v>
      </c>
      <c r="C221" s="6" t="s">
        <v>626</v>
      </c>
      <c r="D221" s="8" t="s">
        <v>182</v>
      </c>
      <c r="E221" s="5"/>
    </row>
    <row r="222" ht="14.25" customHeight="1">
      <c r="A222" s="6" t="s">
        <v>627</v>
      </c>
      <c r="B222" s="7" t="s">
        <v>628</v>
      </c>
      <c r="C222" s="9" t="s">
        <v>629</v>
      </c>
      <c r="D222" s="10" t="s">
        <v>35</v>
      </c>
      <c r="E222" s="5"/>
    </row>
    <row r="223" ht="14.25" customHeight="1">
      <c r="A223" s="6" t="s">
        <v>630</v>
      </c>
      <c r="B223" s="7" t="s">
        <v>631</v>
      </c>
      <c r="C223" s="6" t="s">
        <v>632</v>
      </c>
      <c r="D223" s="8" t="s">
        <v>182</v>
      </c>
      <c r="E223" s="5"/>
    </row>
    <row r="224" ht="14.25" customHeight="1">
      <c r="A224" s="6" t="s">
        <v>633</v>
      </c>
      <c r="B224" s="7" t="s">
        <v>634</v>
      </c>
      <c r="C224" s="6" t="s">
        <v>635</v>
      </c>
      <c r="D224" s="8" t="s">
        <v>182</v>
      </c>
      <c r="E224" s="5"/>
    </row>
    <row r="225" ht="14.25" customHeight="1">
      <c r="A225" s="6" t="s">
        <v>636</v>
      </c>
      <c r="B225" s="7" t="s">
        <v>637</v>
      </c>
      <c r="C225" s="9" t="s">
        <v>638</v>
      </c>
      <c r="D225" s="10" t="s">
        <v>520</v>
      </c>
      <c r="E225" s="5"/>
    </row>
    <row r="226" ht="14.25" customHeight="1">
      <c r="A226" s="6" t="s">
        <v>639</v>
      </c>
      <c r="B226" s="7" t="s">
        <v>640</v>
      </c>
      <c r="C226" s="6" t="s">
        <v>641</v>
      </c>
      <c r="D226" s="8" t="s">
        <v>70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19</v>
      </c>
      <c r="E227" s="5"/>
    </row>
    <row r="228" ht="14.25" customHeight="1">
      <c r="A228" s="6" t="s">
        <v>645</v>
      </c>
      <c r="B228" s="7" t="s">
        <v>646</v>
      </c>
      <c r="C228" s="6" t="s">
        <v>647</v>
      </c>
      <c r="D228" s="8" t="s">
        <v>104</v>
      </c>
    </row>
    <row r="229" ht="14.25" customHeight="1">
      <c r="A229" s="6" t="s">
        <v>648</v>
      </c>
      <c r="B229" s="7" t="s">
        <v>649</v>
      </c>
      <c r="C229" s="6" t="s">
        <v>168</v>
      </c>
      <c r="D229" s="8" t="s">
        <v>168</v>
      </c>
    </row>
    <row r="230" ht="14.25" customHeight="1">
      <c r="A230" s="6" t="s">
        <v>650</v>
      </c>
      <c r="B230" s="7" t="s">
        <v>651</v>
      </c>
      <c r="C230" s="9" t="s">
        <v>652</v>
      </c>
      <c r="D230" s="10" t="s">
        <v>15</v>
      </c>
      <c r="E230" s="5"/>
    </row>
    <row r="231" ht="14.25" customHeight="1">
      <c r="A231" s="6" t="s">
        <v>653</v>
      </c>
      <c r="B231" s="7" t="s">
        <v>654</v>
      </c>
      <c r="C231" s="6" t="s">
        <v>168</v>
      </c>
      <c r="D231" s="8" t="s">
        <v>168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19</v>
      </c>
      <c r="E232" s="5"/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182</v>
      </c>
      <c r="E233" s="5"/>
    </row>
    <row r="234" ht="14.25" customHeight="1">
      <c r="A234" s="6" t="s">
        <v>661</v>
      </c>
      <c r="B234" s="7" t="s">
        <v>662</v>
      </c>
      <c r="C234" s="6" t="s">
        <v>663</v>
      </c>
      <c r="D234" s="8" t="s">
        <v>70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19</v>
      </c>
      <c r="E235" s="5"/>
    </row>
    <row r="236" ht="14.25" customHeight="1">
      <c r="A236" s="6" t="s">
        <v>667</v>
      </c>
      <c r="B236" s="7" t="s">
        <v>668</v>
      </c>
      <c r="C236" s="9" t="s">
        <v>669</v>
      </c>
      <c r="D236" s="10" t="s">
        <v>15</v>
      </c>
      <c r="E236" s="5"/>
    </row>
    <row r="237" ht="14.25" customHeight="1">
      <c r="A237" s="6" t="s">
        <v>670</v>
      </c>
      <c r="B237" s="7" t="s">
        <v>671</v>
      </c>
      <c r="C237" s="9" t="s">
        <v>439</v>
      </c>
      <c r="D237" s="8" t="s">
        <v>19</v>
      </c>
      <c r="E237" s="5"/>
    </row>
    <row r="238" ht="14.25" customHeight="1">
      <c r="A238" s="6" t="s">
        <v>672</v>
      </c>
      <c r="B238" s="7" t="s">
        <v>673</v>
      </c>
      <c r="C238" s="6" t="s">
        <v>168</v>
      </c>
      <c r="D238" s="8" t="s">
        <v>168</v>
      </c>
    </row>
    <row r="239" ht="14.25" customHeight="1">
      <c r="A239" s="6" t="s">
        <v>674</v>
      </c>
      <c r="B239" s="7" t="s">
        <v>675</v>
      </c>
      <c r="C239" s="6" t="s">
        <v>99</v>
      </c>
      <c r="D239" s="8" t="s">
        <v>100</v>
      </c>
    </row>
    <row r="240" ht="14.25" customHeight="1">
      <c r="A240" s="6" t="s">
        <v>676</v>
      </c>
      <c r="B240" s="7" t="s">
        <v>677</v>
      </c>
      <c r="C240" s="9" t="s">
        <v>678</v>
      </c>
      <c r="D240" s="10" t="s">
        <v>35</v>
      </c>
      <c r="E240" s="5"/>
    </row>
    <row r="241" ht="14.25" customHeight="1">
      <c r="A241" s="9" t="s">
        <v>679</v>
      </c>
      <c r="B241" s="12" t="s">
        <v>680</v>
      </c>
      <c r="C241" s="9" t="s">
        <v>681</v>
      </c>
      <c r="D241" s="10" t="s">
        <v>35</v>
      </c>
    </row>
    <row r="242" ht="14.25" customHeight="1">
      <c r="A242" s="6" t="s">
        <v>682</v>
      </c>
      <c r="B242" s="7" t="s">
        <v>683</v>
      </c>
      <c r="C242" s="6" t="s">
        <v>168</v>
      </c>
      <c r="D242" s="8" t="s">
        <v>168</v>
      </c>
    </row>
    <row r="243" ht="14.25" customHeight="1">
      <c r="A243" s="9" t="s">
        <v>684</v>
      </c>
      <c r="B243" s="12" t="s">
        <v>685</v>
      </c>
      <c r="C243" s="9" t="s">
        <v>686</v>
      </c>
      <c r="D243" s="10" t="s">
        <v>35</v>
      </c>
      <c r="E243" s="5"/>
    </row>
    <row r="244" ht="14.25" customHeight="1">
      <c r="A244" s="6" t="s">
        <v>687</v>
      </c>
      <c r="B244" s="7" t="s">
        <v>688</v>
      </c>
      <c r="C244" s="6" t="s">
        <v>689</v>
      </c>
      <c r="D244" s="8" t="s">
        <v>7</v>
      </c>
      <c r="E244" s="5"/>
    </row>
    <row r="245" ht="14.25" customHeight="1">
      <c r="A245" s="6" t="s">
        <v>690</v>
      </c>
      <c r="B245" s="7" t="s">
        <v>691</v>
      </c>
      <c r="C245" s="9" t="s">
        <v>692</v>
      </c>
      <c r="D245" s="10" t="s">
        <v>31</v>
      </c>
      <c r="E245" s="5"/>
    </row>
    <row r="246" ht="14.25" customHeight="1">
      <c r="A246" s="6" t="s">
        <v>693</v>
      </c>
      <c r="B246" s="7" t="s">
        <v>694</v>
      </c>
      <c r="C246" s="9" t="s">
        <v>695</v>
      </c>
      <c r="D246" s="10" t="s">
        <v>31</v>
      </c>
      <c r="E246" s="5"/>
    </row>
    <row r="247" ht="14.25" customHeight="1">
      <c r="A247" s="6" t="s">
        <v>696</v>
      </c>
      <c r="B247" s="7" t="s">
        <v>697</v>
      </c>
      <c r="C247" s="6" t="s">
        <v>698</v>
      </c>
      <c r="D247" s="8" t="s">
        <v>7</v>
      </c>
      <c r="E247" s="5"/>
    </row>
    <row r="248" ht="14.25" customHeight="1">
      <c r="A248" s="6" t="s">
        <v>699</v>
      </c>
      <c r="B248" s="7" t="s">
        <v>700</v>
      </c>
      <c r="C248" s="6" t="s">
        <v>168</v>
      </c>
      <c r="D248" s="8" t="s">
        <v>168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31</v>
      </c>
      <c r="E249" s="5"/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15</v>
      </c>
      <c r="E250" s="5"/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15</v>
      </c>
      <c r="E251" s="5"/>
    </row>
    <row r="252" ht="14.25" customHeight="1">
      <c r="A252" s="9" t="s">
        <v>710</v>
      </c>
      <c r="B252" s="12" t="s">
        <v>711</v>
      </c>
      <c r="C252" s="9" t="s">
        <v>712</v>
      </c>
      <c r="D252" s="10" t="s">
        <v>35</v>
      </c>
      <c r="E252" s="5"/>
    </row>
    <row r="253" ht="14.25" customHeight="1">
      <c r="A253" s="6" t="s">
        <v>713</v>
      </c>
      <c r="B253" s="7" t="s">
        <v>714</v>
      </c>
      <c r="C253" s="9" t="s">
        <v>715</v>
      </c>
      <c r="D253" s="10" t="s">
        <v>31</v>
      </c>
      <c r="E253" s="5"/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15</v>
      </c>
      <c r="E254" s="5"/>
    </row>
    <row r="255" ht="14.25" customHeight="1">
      <c r="A255" s="6" t="s">
        <v>719</v>
      </c>
      <c r="B255" s="7" t="s">
        <v>720</v>
      </c>
      <c r="C255" s="9" t="s">
        <v>721</v>
      </c>
      <c r="D255" s="10" t="s">
        <v>15</v>
      </c>
      <c r="E255" s="5"/>
    </row>
    <row r="256" ht="14.25" customHeight="1">
      <c r="A256" s="6" t="s">
        <v>722</v>
      </c>
      <c r="B256" s="7" t="s">
        <v>723</v>
      </c>
      <c r="C256" s="9" t="s">
        <v>259</v>
      </c>
      <c r="D256" s="10" t="s">
        <v>31</v>
      </c>
      <c r="E256" s="5"/>
    </row>
    <row r="257" ht="14.25" customHeight="1">
      <c r="A257" s="6" t="s">
        <v>724</v>
      </c>
      <c r="B257" s="7" t="s">
        <v>725</v>
      </c>
      <c r="C257" s="9" t="s">
        <v>726</v>
      </c>
      <c r="D257" s="10" t="s">
        <v>15</v>
      </c>
      <c r="E257" s="5"/>
    </row>
    <row r="258" ht="14.25" customHeight="1">
      <c r="A258" s="6" t="s">
        <v>727</v>
      </c>
      <c r="B258" s="7" t="s">
        <v>728</v>
      </c>
      <c r="C258" s="6" t="s">
        <v>168</v>
      </c>
      <c r="D258" s="8" t="s">
        <v>168</v>
      </c>
    </row>
    <row r="259" ht="14.25" customHeight="1">
      <c r="A259" s="9" t="s">
        <v>729</v>
      </c>
      <c r="B259" s="12" t="s">
        <v>730</v>
      </c>
      <c r="C259" s="9" t="s">
        <v>731</v>
      </c>
      <c r="D259" s="10" t="s">
        <v>35</v>
      </c>
    </row>
    <row r="260" ht="14.25" customHeight="1">
      <c r="A260" s="6" t="s">
        <v>732</v>
      </c>
      <c r="B260" s="7" t="s">
        <v>733</v>
      </c>
      <c r="C260" s="6" t="s">
        <v>168</v>
      </c>
      <c r="D260" s="8" t="s">
        <v>168</v>
      </c>
    </row>
    <row r="261" ht="14.25" customHeight="1">
      <c r="A261" s="6" t="s">
        <v>734</v>
      </c>
      <c r="B261" s="7" t="s">
        <v>735</v>
      </c>
      <c r="C261" s="9" t="s">
        <v>736</v>
      </c>
      <c r="D261" s="10" t="s">
        <v>295</v>
      </c>
      <c r="E261" s="5"/>
    </row>
    <row r="262" ht="14.25" customHeight="1">
      <c r="A262" s="6" t="s">
        <v>737</v>
      </c>
      <c r="B262" s="7" t="s">
        <v>738</v>
      </c>
      <c r="C262" s="9" t="s">
        <v>739</v>
      </c>
      <c r="D262" s="10" t="s">
        <v>143</v>
      </c>
      <c r="E262" s="5"/>
    </row>
    <row r="263" ht="14.25" customHeight="1">
      <c r="A263" s="9" t="s">
        <v>740</v>
      </c>
      <c r="B263" s="12" t="s">
        <v>741</v>
      </c>
      <c r="C263" s="9" t="s">
        <v>284</v>
      </c>
      <c r="D263" s="10" t="s">
        <v>35</v>
      </c>
      <c r="E263" s="5"/>
    </row>
    <row r="264" ht="14.25" customHeight="1">
      <c r="A264" s="6" t="s">
        <v>742</v>
      </c>
      <c r="B264" s="7" t="s">
        <v>743</v>
      </c>
      <c r="C264" s="6" t="s">
        <v>744</v>
      </c>
      <c r="D264" s="8" t="s">
        <v>19</v>
      </c>
      <c r="E264" s="5"/>
    </row>
    <row r="265" ht="14.25" customHeight="1">
      <c r="A265" s="6" t="s">
        <v>745</v>
      </c>
      <c r="B265" s="7" t="s">
        <v>746</v>
      </c>
      <c r="C265" s="9" t="s">
        <v>747</v>
      </c>
      <c r="D265" s="10" t="s">
        <v>143</v>
      </c>
      <c r="E265" s="5"/>
    </row>
    <row r="266" ht="14.25" customHeight="1">
      <c r="A266" s="6" t="s">
        <v>748</v>
      </c>
      <c r="B266" s="7" t="s">
        <v>749</v>
      </c>
      <c r="C266" s="6" t="s">
        <v>750</v>
      </c>
      <c r="D266" s="8" t="s">
        <v>19</v>
      </c>
      <c r="E266" s="5"/>
    </row>
    <row r="267" ht="14.25" customHeight="1">
      <c r="A267" s="6" t="s">
        <v>751</v>
      </c>
      <c r="B267" s="7" t="s">
        <v>752</v>
      </c>
      <c r="C267" s="6" t="s">
        <v>753</v>
      </c>
      <c r="D267" s="8" t="s">
        <v>19</v>
      </c>
      <c r="E267" s="5"/>
    </row>
    <row r="268" ht="14.25" customHeight="1">
      <c r="A268" s="6" t="s">
        <v>754</v>
      </c>
      <c r="B268" s="7" t="s">
        <v>755</v>
      </c>
      <c r="C268" s="9" t="s">
        <v>756</v>
      </c>
      <c r="D268" s="10" t="s">
        <v>35</v>
      </c>
    </row>
    <row r="269" ht="14.25" customHeight="1">
      <c r="A269" s="6" t="s">
        <v>757</v>
      </c>
      <c r="B269" s="7" t="s">
        <v>758</v>
      </c>
      <c r="C269" s="6" t="s">
        <v>759</v>
      </c>
      <c r="D269" s="8" t="s">
        <v>19</v>
      </c>
      <c r="E269" s="5" t="s">
        <v>24</v>
      </c>
    </row>
    <row r="270" ht="14.25" customHeight="1">
      <c r="A270" s="6" t="s">
        <v>760</v>
      </c>
      <c r="B270" s="7" t="s">
        <v>761</v>
      </c>
      <c r="C270" s="9" t="s">
        <v>762</v>
      </c>
      <c r="D270" s="10" t="s">
        <v>172</v>
      </c>
      <c r="E270" s="5"/>
    </row>
    <row r="271" ht="14.25" customHeight="1">
      <c r="A271" s="6" t="s">
        <v>763</v>
      </c>
      <c r="B271" s="7" t="s">
        <v>764</v>
      </c>
      <c r="C271" s="6" t="s">
        <v>765</v>
      </c>
      <c r="D271" s="8" t="s">
        <v>19</v>
      </c>
      <c r="E271" s="5"/>
    </row>
    <row r="272" ht="14.25" customHeight="1">
      <c r="A272" s="6" t="s">
        <v>766</v>
      </c>
      <c r="B272" s="7" t="s">
        <v>767</v>
      </c>
      <c r="C272" s="9" t="s">
        <v>768</v>
      </c>
      <c r="D272" s="8" t="s">
        <v>19</v>
      </c>
      <c r="E272" s="5"/>
    </row>
    <row r="273" ht="14.25" customHeight="1">
      <c r="A273" s="6" t="s">
        <v>769</v>
      </c>
      <c r="B273" s="7" t="s">
        <v>770</v>
      </c>
      <c r="C273" s="9" t="s">
        <v>771</v>
      </c>
      <c r="D273" s="10" t="s">
        <v>772</v>
      </c>
      <c r="E273" s="5"/>
    </row>
    <row r="274" ht="14.25" customHeight="1">
      <c r="A274" s="6" t="s">
        <v>773</v>
      </c>
      <c r="B274" s="7" t="s">
        <v>774</v>
      </c>
      <c r="C274" s="9" t="s">
        <v>775</v>
      </c>
      <c r="D274" s="10" t="s">
        <v>23</v>
      </c>
      <c r="E274" s="5"/>
    </row>
    <row r="275" ht="14.25" customHeight="1">
      <c r="A275" s="6" t="s">
        <v>776</v>
      </c>
      <c r="B275" s="7" t="s">
        <v>777</v>
      </c>
      <c r="C275" s="9" t="s">
        <v>778</v>
      </c>
      <c r="D275" s="10" t="s">
        <v>15</v>
      </c>
      <c r="E275" s="5"/>
    </row>
    <row r="276" ht="14.25" customHeight="1">
      <c r="A276" s="6" t="s">
        <v>779</v>
      </c>
      <c r="B276" s="7" t="s">
        <v>780</v>
      </c>
      <c r="C276" s="9" t="s">
        <v>781</v>
      </c>
      <c r="D276" s="10" t="s">
        <v>15</v>
      </c>
      <c r="E276" s="5"/>
    </row>
    <row r="277" ht="14.25" customHeight="1">
      <c r="A277" s="6" t="s">
        <v>782</v>
      </c>
      <c r="B277" s="7" t="s">
        <v>783</v>
      </c>
      <c r="C277" s="9" t="s">
        <v>784</v>
      </c>
      <c r="D277" s="10" t="s">
        <v>42</v>
      </c>
    </row>
    <row r="278" ht="14.25" customHeight="1">
      <c r="A278" s="6" t="s">
        <v>785</v>
      </c>
      <c r="B278" s="7" t="s">
        <v>786</v>
      </c>
      <c r="C278" s="9" t="s">
        <v>787</v>
      </c>
      <c r="D278" s="10" t="s">
        <v>19</v>
      </c>
      <c r="E278" s="5"/>
    </row>
    <row r="279" ht="14.25" customHeight="1">
      <c r="A279" s="6" t="s">
        <v>788</v>
      </c>
      <c r="B279" s="7" t="s">
        <v>789</v>
      </c>
      <c r="C279" s="9" t="s">
        <v>790</v>
      </c>
      <c r="D279" s="8" t="s">
        <v>239</v>
      </c>
      <c r="E279" s="5"/>
    </row>
    <row r="280" ht="14.25" customHeight="1">
      <c r="A280" s="6" t="s">
        <v>791</v>
      </c>
      <c r="B280" s="7" t="s">
        <v>792</v>
      </c>
      <c r="C280" s="9" t="s">
        <v>793</v>
      </c>
      <c r="D280" s="10" t="s">
        <v>19</v>
      </c>
      <c r="E280" s="5"/>
    </row>
    <row r="281" ht="14.25" customHeight="1">
      <c r="A281" s="6" t="s">
        <v>794</v>
      </c>
      <c r="B281" s="7" t="s">
        <v>795</v>
      </c>
      <c r="C281" s="9" t="s">
        <v>796</v>
      </c>
      <c r="D281" s="10" t="s">
        <v>15</v>
      </c>
      <c r="E281" s="5"/>
    </row>
    <row r="282" ht="14.25" customHeight="1">
      <c r="A282" s="6" t="s">
        <v>797</v>
      </c>
      <c r="B282" s="7" t="s">
        <v>798</v>
      </c>
      <c r="C282" s="11" t="s">
        <v>799</v>
      </c>
      <c r="D282" s="10" t="s">
        <v>31</v>
      </c>
      <c r="E282" s="5"/>
    </row>
    <row r="283" ht="14.25" customHeight="1">
      <c r="A283" s="6" t="s">
        <v>800</v>
      </c>
      <c r="B283" s="7" t="s">
        <v>801</v>
      </c>
      <c r="C283" s="9" t="s">
        <v>802</v>
      </c>
      <c r="D283" s="10" t="s">
        <v>15</v>
      </c>
      <c r="E283" s="5"/>
    </row>
    <row r="284" ht="14.25" customHeight="1">
      <c r="A284" s="6" t="s">
        <v>803</v>
      </c>
      <c r="B284" s="7" t="s">
        <v>804</v>
      </c>
      <c r="C284" s="6" t="s">
        <v>805</v>
      </c>
      <c r="D284" s="8" t="s">
        <v>172</v>
      </c>
      <c r="E284" s="5"/>
    </row>
    <row r="285" ht="14.25" customHeight="1">
      <c r="A285" s="6" t="s">
        <v>806</v>
      </c>
      <c r="B285" s="7" t="s">
        <v>807</v>
      </c>
      <c r="C285" s="6" t="s">
        <v>808</v>
      </c>
      <c r="D285" s="8" t="s">
        <v>772</v>
      </c>
      <c r="E285" s="5"/>
    </row>
    <row r="286" ht="14.25" customHeight="1">
      <c r="A286" s="6" t="s">
        <v>809</v>
      </c>
      <c r="B286" s="7" t="s">
        <v>810</v>
      </c>
      <c r="C286" s="9" t="s">
        <v>811</v>
      </c>
      <c r="D286" s="10" t="s">
        <v>19</v>
      </c>
      <c r="E286" s="5"/>
    </row>
    <row r="287" ht="14.25" customHeight="1">
      <c r="A287" s="6" t="s">
        <v>812</v>
      </c>
      <c r="B287" s="7" t="s">
        <v>813</v>
      </c>
      <c r="C287" s="6" t="s">
        <v>168</v>
      </c>
      <c r="D287" s="8" t="s">
        <v>168</v>
      </c>
    </row>
    <row r="288" ht="14.25" customHeight="1">
      <c r="A288" s="6" t="s">
        <v>814</v>
      </c>
      <c r="B288" s="7" t="s">
        <v>815</v>
      </c>
      <c r="C288" s="9" t="s">
        <v>669</v>
      </c>
      <c r="D288" s="10" t="s">
        <v>15</v>
      </c>
      <c r="E288" s="5"/>
    </row>
    <row r="289" ht="14.25" customHeight="1">
      <c r="A289" s="6" t="s">
        <v>816</v>
      </c>
      <c r="B289" s="7" t="s">
        <v>817</v>
      </c>
      <c r="C289" s="6" t="s">
        <v>168</v>
      </c>
      <c r="D289" s="8" t="s">
        <v>168</v>
      </c>
    </row>
    <row r="290" ht="14.25" customHeight="1">
      <c r="A290" s="6" t="s">
        <v>818</v>
      </c>
      <c r="B290" s="7" t="s">
        <v>819</v>
      </c>
      <c r="C290" s="9" t="s">
        <v>820</v>
      </c>
      <c r="D290" s="10" t="s">
        <v>31</v>
      </c>
      <c r="E290" s="5"/>
    </row>
    <row r="291" ht="14.25" customHeight="1">
      <c r="A291" s="6" t="s">
        <v>821</v>
      </c>
      <c r="B291" s="7" t="s">
        <v>822</v>
      </c>
      <c r="C291" s="9" t="s">
        <v>823</v>
      </c>
      <c r="D291" s="8" t="s">
        <v>19</v>
      </c>
      <c r="E291" s="5"/>
    </row>
    <row r="292" ht="14.25" customHeight="1">
      <c r="A292" s="6" t="s">
        <v>824</v>
      </c>
      <c r="B292" s="7" t="s">
        <v>825</v>
      </c>
      <c r="C292" s="9" t="s">
        <v>826</v>
      </c>
      <c r="D292" s="10" t="s">
        <v>31</v>
      </c>
      <c r="E292" s="5"/>
    </row>
    <row r="293" ht="14.25" customHeight="1">
      <c r="A293" s="6" t="s">
        <v>827</v>
      </c>
      <c r="B293" s="7" t="s">
        <v>828</v>
      </c>
      <c r="C293" s="9" t="s">
        <v>829</v>
      </c>
      <c r="D293" s="10" t="s">
        <v>772</v>
      </c>
      <c r="E293" s="5"/>
    </row>
    <row r="294" ht="14.25" customHeight="1">
      <c r="A294" s="6" t="s">
        <v>830</v>
      </c>
      <c r="B294" s="7" t="s">
        <v>831</v>
      </c>
      <c r="C294" s="9" t="s">
        <v>832</v>
      </c>
      <c r="D294" s="10" t="s">
        <v>15</v>
      </c>
      <c r="E294" s="5"/>
    </row>
    <row r="295" ht="14.25" customHeight="1">
      <c r="A295" s="6" t="s">
        <v>833</v>
      </c>
      <c r="B295" s="7" t="s">
        <v>834</v>
      </c>
      <c r="C295" s="6" t="s">
        <v>835</v>
      </c>
      <c r="D295" s="8" t="s">
        <v>11</v>
      </c>
      <c r="E295" s="5"/>
    </row>
    <row r="296" ht="14.25" customHeight="1">
      <c r="A296" s="6" t="s">
        <v>836</v>
      </c>
      <c r="B296" s="7" t="s">
        <v>837</v>
      </c>
      <c r="C296" s="6" t="s">
        <v>168</v>
      </c>
      <c r="D296" s="8" t="s">
        <v>168</v>
      </c>
    </row>
    <row r="297" ht="14.25" customHeight="1">
      <c r="A297" s="6" t="s">
        <v>838</v>
      </c>
      <c r="B297" s="7" t="s">
        <v>839</v>
      </c>
      <c r="C297" s="9" t="s">
        <v>765</v>
      </c>
      <c r="D297" s="10" t="s">
        <v>19</v>
      </c>
      <c r="E297" s="5"/>
    </row>
    <row r="298" ht="14.25" customHeight="1">
      <c r="A298" s="6" t="s">
        <v>840</v>
      </c>
      <c r="B298" s="7" t="s">
        <v>841</v>
      </c>
      <c r="C298" s="6" t="s">
        <v>168</v>
      </c>
      <c r="D298" s="8" t="s">
        <v>168</v>
      </c>
    </row>
    <row r="299" ht="14.25" customHeight="1">
      <c r="A299" s="6" t="s">
        <v>842</v>
      </c>
      <c r="B299" s="7" t="s">
        <v>843</v>
      </c>
      <c r="C299" s="6" t="s">
        <v>168</v>
      </c>
      <c r="D299" s="8" t="s">
        <v>168</v>
      </c>
    </row>
    <row r="300" ht="14.25" customHeight="1">
      <c r="A300" s="6" t="s">
        <v>844</v>
      </c>
      <c r="B300" s="7" t="s">
        <v>845</v>
      </c>
      <c r="C300" s="9" t="s">
        <v>846</v>
      </c>
      <c r="D300" s="10" t="s">
        <v>19</v>
      </c>
      <c r="E300" s="5"/>
    </row>
    <row r="301" ht="14.25" customHeight="1">
      <c r="A301" s="6" t="s">
        <v>847</v>
      </c>
      <c r="B301" s="7" t="s">
        <v>848</v>
      </c>
      <c r="C301" s="6" t="s">
        <v>849</v>
      </c>
      <c r="D301" s="8" t="s">
        <v>584</v>
      </c>
    </row>
    <row r="302" ht="14.25" customHeight="1">
      <c r="A302" s="6" t="s">
        <v>850</v>
      </c>
      <c r="B302" s="7" t="s">
        <v>851</v>
      </c>
      <c r="C302" s="6" t="s">
        <v>852</v>
      </c>
      <c r="D302" s="8" t="s">
        <v>11</v>
      </c>
      <c r="E302" s="5"/>
    </row>
    <row r="303" ht="14.25" customHeight="1">
      <c r="A303" s="6" t="s">
        <v>853</v>
      </c>
      <c r="B303" s="7" t="s">
        <v>854</v>
      </c>
      <c r="C303" s="9" t="s">
        <v>855</v>
      </c>
      <c r="D303" s="10" t="s">
        <v>19</v>
      </c>
      <c r="E303" s="5"/>
    </row>
    <row r="304" ht="14.25" customHeight="1">
      <c r="A304" s="6" t="s">
        <v>856</v>
      </c>
      <c r="B304" s="7" t="s">
        <v>857</v>
      </c>
      <c r="C304" s="6" t="s">
        <v>858</v>
      </c>
      <c r="D304" s="8" t="s">
        <v>162</v>
      </c>
    </row>
    <row r="305" ht="14.25" customHeight="1">
      <c r="A305" s="6" t="s">
        <v>859</v>
      </c>
      <c r="B305" s="7" t="s">
        <v>860</v>
      </c>
      <c r="C305" s="9" t="s">
        <v>861</v>
      </c>
      <c r="D305" s="10" t="s">
        <v>31</v>
      </c>
      <c r="E305" s="5"/>
    </row>
    <row r="306" ht="14.25" customHeight="1">
      <c r="A306" s="6" t="s">
        <v>862</v>
      </c>
      <c r="B306" s="7" t="s">
        <v>863</v>
      </c>
      <c r="C306" s="6" t="s">
        <v>864</v>
      </c>
      <c r="D306" s="8" t="s">
        <v>19</v>
      </c>
      <c r="E306" s="5"/>
    </row>
    <row r="307" ht="14.25" customHeight="1">
      <c r="A307" s="6" t="s">
        <v>865</v>
      </c>
      <c r="B307" s="7" t="s">
        <v>866</v>
      </c>
      <c r="C307" s="9" t="s">
        <v>867</v>
      </c>
      <c r="D307" s="10" t="s">
        <v>143</v>
      </c>
      <c r="E307" s="5"/>
    </row>
    <row r="308" ht="14.25" customHeight="1">
      <c r="A308" s="6" t="s">
        <v>868</v>
      </c>
      <c r="B308" s="7" t="s">
        <v>869</v>
      </c>
      <c r="C308" s="6" t="s">
        <v>870</v>
      </c>
      <c r="D308" s="8" t="s">
        <v>70</v>
      </c>
      <c r="E308" s="5"/>
    </row>
    <row r="309" ht="14.25" customHeight="1">
      <c r="A309" s="13" t="s">
        <v>871</v>
      </c>
      <c r="B309" s="14" t="s">
        <v>872</v>
      </c>
      <c r="C309" s="13" t="s">
        <v>873</v>
      </c>
      <c r="D309" s="17" t="s">
        <v>874</v>
      </c>
      <c r="E309" s="5"/>
    </row>
    <row r="310" ht="14.25" customHeight="1">
      <c r="A310" s="6" t="s">
        <v>875</v>
      </c>
      <c r="B310" s="7" t="s">
        <v>876</v>
      </c>
      <c r="C310" s="9" t="s">
        <v>877</v>
      </c>
      <c r="D310" s="10" t="s">
        <v>15</v>
      </c>
      <c r="E310" s="5"/>
    </row>
    <row r="311" ht="14.25" customHeight="1">
      <c r="A311" s="6" t="s">
        <v>878</v>
      </c>
      <c r="B311" s="7" t="s">
        <v>879</v>
      </c>
      <c r="C311" s="9" t="s">
        <v>880</v>
      </c>
      <c r="D311" s="10" t="s">
        <v>31</v>
      </c>
      <c r="E311" s="5"/>
    </row>
    <row r="312" ht="14.25" customHeight="1">
      <c r="A312" s="6" t="s">
        <v>881</v>
      </c>
      <c r="B312" s="7" t="s">
        <v>882</v>
      </c>
      <c r="C312" s="6" t="s">
        <v>883</v>
      </c>
      <c r="D312" s="8" t="s">
        <v>143</v>
      </c>
      <c r="E312" s="5"/>
    </row>
    <row r="313" ht="14.25" customHeight="1">
      <c r="A313" s="6" t="s">
        <v>884</v>
      </c>
      <c r="B313" s="7" t="s">
        <v>885</v>
      </c>
      <c r="C313" s="9" t="s">
        <v>886</v>
      </c>
      <c r="D313" s="10" t="s">
        <v>143</v>
      </c>
      <c r="E313" s="5"/>
    </row>
    <row r="314" ht="14.25" customHeight="1">
      <c r="A314" s="6" t="s">
        <v>887</v>
      </c>
      <c r="B314" s="7" t="s">
        <v>888</v>
      </c>
      <c r="C314" s="9" t="s">
        <v>889</v>
      </c>
      <c r="D314" s="10" t="s">
        <v>15</v>
      </c>
      <c r="E314" s="5"/>
    </row>
    <row r="315" ht="14.25" customHeight="1">
      <c r="A315" s="6" t="s">
        <v>890</v>
      </c>
      <c r="B315" s="7" t="s">
        <v>891</v>
      </c>
      <c r="C315" s="9" t="s">
        <v>889</v>
      </c>
      <c r="D315" s="10" t="s">
        <v>15</v>
      </c>
      <c r="E315" s="5"/>
    </row>
    <row r="316" ht="14.25" customHeight="1">
      <c r="A316" s="13" t="s">
        <v>892</v>
      </c>
      <c r="B316" s="14" t="s">
        <v>893</v>
      </c>
      <c r="C316" s="13" t="s">
        <v>894</v>
      </c>
      <c r="D316" s="17" t="s">
        <v>253</v>
      </c>
      <c r="E316" s="5"/>
    </row>
    <row r="317" ht="14.25" customHeight="1">
      <c r="A317" s="6" t="s">
        <v>895</v>
      </c>
      <c r="B317" s="7" t="s">
        <v>896</v>
      </c>
      <c r="C317" s="9" t="s">
        <v>897</v>
      </c>
      <c r="D317" s="10" t="s">
        <v>15</v>
      </c>
      <c r="E317" s="5"/>
    </row>
    <row r="318" ht="14.25" customHeight="1">
      <c r="A318" s="6" t="s">
        <v>898</v>
      </c>
      <c r="B318" s="7" t="s">
        <v>899</v>
      </c>
      <c r="C318" s="9" t="s">
        <v>900</v>
      </c>
      <c r="D318" s="10" t="s">
        <v>31</v>
      </c>
      <c r="E318" s="5"/>
    </row>
    <row r="319" ht="14.25" customHeight="1">
      <c r="A319" s="6" t="s">
        <v>901</v>
      </c>
      <c r="B319" s="7" t="s">
        <v>902</v>
      </c>
      <c r="C319" s="6" t="s">
        <v>903</v>
      </c>
      <c r="D319" s="8" t="s">
        <v>239</v>
      </c>
    </row>
    <row r="320" ht="14.25" customHeight="1">
      <c r="A320" s="6" t="s">
        <v>904</v>
      </c>
      <c r="B320" s="7" t="s">
        <v>905</v>
      </c>
      <c r="C320" s="6" t="s">
        <v>906</v>
      </c>
      <c r="D320" s="8" t="s">
        <v>172</v>
      </c>
    </row>
    <row r="321" ht="14.25" customHeight="1">
      <c r="A321" s="6" t="s">
        <v>907</v>
      </c>
      <c r="B321" s="7" t="s">
        <v>908</v>
      </c>
      <c r="C321" s="6" t="s">
        <v>909</v>
      </c>
      <c r="D321" s="8" t="s">
        <v>162</v>
      </c>
    </row>
    <row r="322" ht="14.25" customHeight="1">
      <c r="A322" s="6" t="s">
        <v>910</v>
      </c>
      <c r="B322" s="7" t="s">
        <v>911</v>
      </c>
      <c r="C322" s="9" t="s">
        <v>912</v>
      </c>
      <c r="D322" s="10" t="s">
        <v>70</v>
      </c>
      <c r="E322" s="5"/>
    </row>
    <row r="323" ht="14.25" customHeight="1">
      <c r="A323" s="6" t="s">
        <v>913</v>
      </c>
      <c r="B323" s="7" t="s">
        <v>914</v>
      </c>
      <c r="C323" s="6" t="s">
        <v>168</v>
      </c>
      <c r="D323" s="8" t="s">
        <v>168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11</v>
      </c>
      <c r="E324" s="5"/>
    </row>
    <row r="325" ht="14.25" customHeight="1">
      <c r="A325" s="6" t="s">
        <v>918</v>
      </c>
      <c r="B325" s="7" t="s">
        <v>919</v>
      </c>
      <c r="C325" s="6" t="s">
        <v>168</v>
      </c>
      <c r="D325" s="8" t="s">
        <v>168</v>
      </c>
    </row>
    <row r="326" ht="14.25" customHeight="1">
      <c r="A326" s="6" t="s">
        <v>920</v>
      </c>
      <c r="B326" s="7" t="s">
        <v>921</v>
      </c>
      <c r="C326" s="9" t="s">
        <v>922</v>
      </c>
      <c r="D326" s="10" t="s">
        <v>19</v>
      </c>
      <c r="E326" s="5"/>
    </row>
    <row r="327" ht="14.25" customHeight="1">
      <c r="A327" s="6" t="s">
        <v>923</v>
      </c>
      <c r="B327" s="7" t="s">
        <v>924</v>
      </c>
      <c r="C327" s="6" t="s">
        <v>925</v>
      </c>
      <c r="D327" s="8" t="s">
        <v>19</v>
      </c>
      <c r="E327" s="5"/>
    </row>
    <row r="328" ht="14.25" customHeight="1">
      <c r="A328" s="6" t="s">
        <v>926</v>
      </c>
      <c r="B328" s="7" t="s">
        <v>927</v>
      </c>
      <c r="C328" s="9" t="s">
        <v>928</v>
      </c>
      <c r="D328" s="10" t="s">
        <v>31</v>
      </c>
      <c r="E328" s="5"/>
    </row>
    <row r="329" ht="14.25" customHeight="1">
      <c r="A329" s="6" t="s">
        <v>929</v>
      </c>
      <c r="B329" s="7" t="s">
        <v>930</v>
      </c>
      <c r="C329" s="6" t="s">
        <v>931</v>
      </c>
      <c r="D329" s="8" t="s">
        <v>19</v>
      </c>
      <c r="E329" s="5"/>
    </row>
    <row r="330" ht="14.25" customHeight="1">
      <c r="A330" s="9" t="s">
        <v>932</v>
      </c>
      <c r="B330" s="12" t="s">
        <v>933</v>
      </c>
      <c r="C330" s="9" t="s">
        <v>934</v>
      </c>
      <c r="D330" s="10" t="s">
        <v>35</v>
      </c>
      <c r="E330" s="5"/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19</v>
      </c>
      <c r="E331" s="5"/>
    </row>
    <row r="332" ht="14.25" customHeight="1">
      <c r="A332" s="6" t="s">
        <v>938</v>
      </c>
      <c r="B332" s="7" t="s">
        <v>939</v>
      </c>
      <c r="C332" s="6" t="s">
        <v>168</v>
      </c>
      <c r="D332" s="8" t="s">
        <v>168</v>
      </c>
    </row>
    <row r="333" ht="14.25" customHeight="1">
      <c r="A333" s="6" t="s">
        <v>940</v>
      </c>
      <c r="B333" s="7" t="s">
        <v>941</v>
      </c>
      <c r="C333" s="9" t="s">
        <v>942</v>
      </c>
      <c r="D333" s="10" t="s">
        <v>182</v>
      </c>
      <c r="E333" s="5"/>
    </row>
    <row r="334" ht="14.25" customHeight="1">
      <c r="A334" s="6" t="s">
        <v>943</v>
      </c>
      <c r="B334" s="7" t="s">
        <v>944</v>
      </c>
      <c r="C334" s="9" t="s">
        <v>945</v>
      </c>
      <c r="D334" s="8" t="s">
        <v>520</v>
      </c>
      <c r="E334" s="5"/>
    </row>
    <row r="335" ht="14.25" customHeight="1">
      <c r="A335" s="6" t="s">
        <v>946</v>
      </c>
      <c r="B335" s="7" t="s">
        <v>947</v>
      </c>
      <c r="C335" s="9" t="s">
        <v>948</v>
      </c>
      <c r="D335" s="10" t="s">
        <v>182</v>
      </c>
      <c r="E335" s="5"/>
    </row>
    <row r="336" ht="14.25" customHeight="1">
      <c r="A336" s="6" t="s">
        <v>949</v>
      </c>
      <c r="B336" s="7" t="s">
        <v>950</v>
      </c>
      <c r="C336" s="9" t="s">
        <v>951</v>
      </c>
      <c r="D336" s="10" t="s">
        <v>162</v>
      </c>
      <c r="E336" s="5"/>
    </row>
    <row r="337" ht="14.25" customHeight="1">
      <c r="A337" s="6" t="s">
        <v>952</v>
      </c>
      <c r="B337" s="7" t="s">
        <v>953</v>
      </c>
      <c r="C337" s="9" t="s">
        <v>954</v>
      </c>
      <c r="D337" s="10" t="s">
        <v>19</v>
      </c>
      <c r="E337" s="5"/>
    </row>
    <row r="338" ht="14.25" customHeight="1">
      <c r="A338" s="6" t="s">
        <v>955</v>
      </c>
      <c r="B338" s="7" t="s">
        <v>956</v>
      </c>
      <c r="C338" s="6" t="s">
        <v>957</v>
      </c>
      <c r="D338" s="8" t="s">
        <v>11</v>
      </c>
      <c r="E338" s="5"/>
    </row>
    <row r="339" ht="14.25" customHeight="1">
      <c r="A339" s="6" t="s">
        <v>958</v>
      </c>
      <c r="B339" s="7" t="s">
        <v>959</v>
      </c>
      <c r="C339" s="6" t="s">
        <v>960</v>
      </c>
      <c r="D339" s="8" t="s">
        <v>239</v>
      </c>
    </row>
    <row r="340" ht="14.25" customHeight="1">
      <c r="A340" s="6" t="s">
        <v>961</v>
      </c>
      <c r="B340" s="7" t="s">
        <v>962</v>
      </c>
      <c r="C340" s="9" t="s">
        <v>963</v>
      </c>
      <c r="D340" s="8" t="s">
        <v>172</v>
      </c>
      <c r="E340" s="5"/>
    </row>
    <row r="341" ht="14.25" customHeight="1">
      <c r="A341" s="6" t="s">
        <v>964</v>
      </c>
      <c r="B341" s="7" t="s">
        <v>965</v>
      </c>
      <c r="C341" s="9" t="s">
        <v>966</v>
      </c>
      <c r="D341" s="10" t="s">
        <v>172</v>
      </c>
      <c r="E341" s="5"/>
    </row>
    <row r="342" ht="14.25" customHeight="1">
      <c r="A342" s="6" t="s">
        <v>967</v>
      </c>
      <c r="B342" s="7" t="s">
        <v>968</v>
      </c>
      <c r="C342" s="6" t="s">
        <v>969</v>
      </c>
      <c r="D342" s="8" t="s">
        <v>23</v>
      </c>
    </row>
    <row r="343" ht="14.25" customHeight="1">
      <c r="A343" s="6" t="s">
        <v>970</v>
      </c>
      <c r="B343" s="7" t="s">
        <v>971</v>
      </c>
      <c r="C343" s="6" t="s">
        <v>972</v>
      </c>
      <c r="D343" s="8" t="s">
        <v>11</v>
      </c>
    </row>
    <row r="344" ht="14.25" customHeight="1">
      <c r="A344" s="6" t="s">
        <v>973</v>
      </c>
      <c r="B344" s="7" t="s">
        <v>974</v>
      </c>
      <c r="C344" s="6" t="s">
        <v>975</v>
      </c>
      <c r="D344" s="8" t="s">
        <v>70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23</v>
      </c>
    </row>
    <row r="346" ht="14.25" customHeight="1">
      <c r="A346" s="6" t="s">
        <v>979</v>
      </c>
      <c r="B346" s="7" t="s">
        <v>980</v>
      </c>
      <c r="C346" s="6" t="s">
        <v>981</v>
      </c>
      <c r="D346" s="8" t="s">
        <v>172</v>
      </c>
    </row>
    <row r="347" ht="14.25" customHeight="1">
      <c r="A347" s="6" t="s">
        <v>982</v>
      </c>
      <c r="B347" s="7" t="s">
        <v>983</v>
      </c>
      <c r="C347" s="18" t="s">
        <v>984</v>
      </c>
      <c r="D347" s="8" t="s">
        <v>520</v>
      </c>
    </row>
    <row r="348" ht="14.25" customHeight="1">
      <c r="A348" s="6" t="s">
        <v>985</v>
      </c>
      <c r="B348" s="7" t="s">
        <v>986</v>
      </c>
      <c r="C348" s="6" t="s">
        <v>987</v>
      </c>
      <c r="D348" s="8" t="s">
        <v>520</v>
      </c>
    </row>
    <row r="349" ht="14.25" customHeight="1">
      <c r="A349" s="6" t="s">
        <v>988</v>
      </c>
      <c r="B349" s="7" t="s">
        <v>989</v>
      </c>
      <c r="C349" s="6" t="s">
        <v>990</v>
      </c>
      <c r="D349" s="8" t="s">
        <v>23</v>
      </c>
    </row>
    <row r="350" ht="14.25" customHeight="1">
      <c r="A350" s="6" t="s">
        <v>991</v>
      </c>
      <c r="B350" s="7" t="s">
        <v>992</v>
      </c>
      <c r="C350" s="6" t="s">
        <v>333</v>
      </c>
      <c r="D350" s="8" t="s">
        <v>23</v>
      </c>
    </row>
    <row r="351" ht="14.25" customHeight="1">
      <c r="A351" s="6" t="s">
        <v>993</v>
      </c>
      <c r="B351" s="7" t="s">
        <v>994</v>
      </c>
      <c r="C351" s="6" t="s">
        <v>995</v>
      </c>
      <c r="D351" s="8" t="s">
        <v>143</v>
      </c>
    </row>
    <row r="352" ht="14.25" customHeight="1">
      <c r="A352" s="6" t="s">
        <v>996</v>
      </c>
      <c r="B352" s="7" t="s">
        <v>997</v>
      </c>
      <c r="C352" s="9" t="s">
        <v>998</v>
      </c>
      <c r="D352" s="10" t="s">
        <v>143</v>
      </c>
      <c r="E352" s="5"/>
    </row>
    <row r="353" ht="14.25" customHeight="1">
      <c r="A353" s="6" t="s">
        <v>999</v>
      </c>
      <c r="B353" s="7" t="s">
        <v>1000</v>
      </c>
      <c r="C353" s="9" t="s">
        <v>1001</v>
      </c>
      <c r="D353" s="10" t="s">
        <v>182</v>
      </c>
      <c r="E353" s="5"/>
    </row>
    <row r="354" ht="14.25" customHeight="1">
      <c r="A354" s="6" t="s">
        <v>1002</v>
      </c>
      <c r="B354" s="7" t="s">
        <v>1003</v>
      </c>
      <c r="C354" s="9" t="s">
        <v>1004</v>
      </c>
      <c r="D354" s="10" t="s">
        <v>143</v>
      </c>
      <c r="E354" s="5"/>
    </row>
    <row r="355" ht="14.25" customHeight="1">
      <c r="A355" s="6" t="s">
        <v>1005</v>
      </c>
      <c r="B355" s="7" t="s">
        <v>1006</v>
      </c>
      <c r="C355" s="9" t="s">
        <v>1007</v>
      </c>
      <c r="D355" s="10" t="s">
        <v>182</v>
      </c>
      <c r="E355" s="5"/>
    </row>
    <row r="356" ht="14.25" customHeight="1">
      <c r="A356" s="6" t="s">
        <v>1008</v>
      </c>
      <c r="B356" s="7" t="s">
        <v>1009</v>
      </c>
      <c r="C356" s="9" t="s">
        <v>1010</v>
      </c>
      <c r="D356" s="10" t="s">
        <v>143</v>
      </c>
      <c r="E356" s="5"/>
    </row>
    <row r="357" ht="14.25" customHeight="1">
      <c r="A357" s="6" t="s">
        <v>1011</v>
      </c>
      <c r="B357" s="7" t="s">
        <v>1012</v>
      </c>
      <c r="C357" s="9" t="s">
        <v>1013</v>
      </c>
      <c r="D357" s="10" t="s">
        <v>520</v>
      </c>
      <c r="E357" s="5"/>
    </row>
    <row r="358" ht="14.25" customHeight="1">
      <c r="A358" s="6" t="s">
        <v>1014</v>
      </c>
      <c r="B358" s="7" t="s">
        <v>1015</v>
      </c>
      <c r="C358" s="9" t="s">
        <v>1016</v>
      </c>
      <c r="D358" s="10" t="s">
        <v>143</v>
      </c>
      <c r="E358" s="5"/>
    </row>
    <row r="359" ht="14.25" customHeight="1">
      <c r="A359" s="6" t="s">
        <v>1017</v>
      </c>
      <c r="B359" s="7" t="s">
        <v>1018</v>
      </c>
      <c r="C359" s="9" t="s">
        <v>1019</v>
      </c>
      <c r="D359" s="10" t="s">
        <v>143</v>
      </c>
      <c r="E359" s="5"/>
    </row>
    <row r="360" ht="14.25" customHeight="1">
      <c r="A360" s="13" t="s">
        <v>1020</v>
      </c>
      <c r="B360" s="14" t="s">
        <v>1021</v>
      </c>
      <c r="C360" s="15" t="s">
        <v>1022</v>
      </c>
      <c r="D360" s="16" t="s">
        <v>253</v>
      </c>
      <c r="E360" s="5"/>
    </row>
    <row r="361" ht="14.25" hidden="1" customHeight="1">
      <c r="A361" s="13"/>
      <c r="B361" s="14"/>
      <c r="C361" s="13"/>
      <c r="D361" s="17"/>
    </row>
    <row r="362" ht="14.25" customHeight="1">
      <c r="A362" s="13" t="s">
        <v>1023</v>
      </c>
      <c r="B362" s="14" t="s">
        <v>1024</v>
      </c>
      <c r="C362" s="15" t="s">
        <v>1025</v>
      </c>
      <c r="D362" s="16" t="s">
        <v>520</v>
      </c>
      <c r="E362" s="5"/>
    </row>
    <row r="363" ht="14.25" customHeight="1">
      <c r="A363" s="6" t="s">
        <v>1026</v>
      </c>
      <c r="B363" s="7" t="s">
        <v>1027</v>
      </c>
      <c r="C363" s="9" t="s">
        <v>1028</v>
      </c>
      <c r="D363" s="10" t="s">
        <v>143</v>
      </c>
      <c r="E363" s="5"/>
    </row>
    <row r="364" ht="14.25" customHeight="1">
      <c r="A364" s="13" t="s">
        <v>1029</v>
      </c>
      <c r="B364" s="14" t="s">
        <v>1030</v>
      </c>
      <c r="C364" s="15" t="s">
        <v>1031</v>
      </c>
      <c r="D364" s="16" t="s">
        <v>162</v>
      </c>
      <c r="E364" s="5"/>
    </row>
    <row r="365" ht="14.25" customHeight="1">
      <c r="A365" s="6" t="s">
        <v>1032</v>
      </c>
      <c r="B365" s="7" t="s">
        <v>1033</v>
      </c>
      <c r="C365" s="9" t="s">
        <v>1034</v>
      </c>
      <c r="D365" s="8" t="s">
        <v>584</v>
      </c>
      <c r="E365" s="5"/>
    </row>
    <row r="366" ht="14.25" customHeight="1">
      <c r="A366" s="13" t="s">
        <v>1035</v>
      </c>
      <c r="B366" s="14" t="s">
        <v>1036</v>
      </c>
      <c r="C366" s="13" t="s">
        <v>1037</v>
      </c>
      <c r="D366" s="17" t="s">
        <v>1038</v>
      </c>
    </row>
    <row r="367" ht="14.25" customHeight="1">
      <c r="A367" s="6" t="s">
        <v>1039</v>
      </c>
      <c r="B367" s="7" t="s">
        <v>1040</v>
      </c>
      <c r="C367" s="9" t="s">
        <v>1041</v>
      </c>
      <c r="D367" s="10" t="s">
        <v>520</v>
      </c>
      <c r="E367" s="5"/>
    </row>
    <row r="368" ht="14.25" customHeight="1">
      <c r="A368" s="6" t="s">
        <v>1042</v>
      </c>
      <c r="B368" s="7" t="s">
        <v>1043</v>
      </c>
      <c r="C368" s="6" t="s">
        <v>1044</v>
      </c>
      <c r="D368" s="8" t="s">
        <v>182</v>
      </c>
    </row>
    <row r="369" ht="14.25" customHeight="1">
      <c r="A369" s="6" t="s">
        <v>1045</v>
      </c>
      <c r="B369" s="7" t="s">
        <v>1046</v>
      </c>
      <c r="C369" s="9" t="s">
        <v>1047</v>
      </c>
      <c r="D369" s="10" t="s">
        <v>143</v>
      </c>
      <c r="E369" s="5"/>
    </row>
    <row r="370" ht="14.25" customHeight="1">
      <c r="A370" s="6" t="s">
        <v>1048</v>
      </c>
      <c r="B370" s="7" t="s">
        <v>1049</v>
      </c>
      <c r="C370" s="9" t="s">
        <v>1050</v>
      </c>
      <c r="D370" s="10" t="s">
        <v>182</v>
      </c>
      <c r="E370" s="5"/>
    </row>
    <row r="371" ht="14.25" customHeight="1">
      <c r="A371" s="6" t="s">
        <v>1051</v>
      </c>
      <c r="B371" s="7" t="s">
        <v>1052</v>
      </c>
      <c r="C371" s="6" t="s">
        <v>1053</v>
      </c>
      <c r="D371" s="6" t="s">
        <v>524</v>
      </c>
      <c r="E371" s="5"/>
    </row>
    <row r="372" ht="14.25" customHeight="1">
      <c r="A372" s="13" t="s">
        <v>1054</v>
      </c>
      <c r="B372" s="14" t="s">
        <v>1055</v>
      </c>
      <c r="C372" s="13" t="s">
        <v>1056</v>
      </c>
      <c r="D372" s="13" t="s">
        <v>608</v>
      </c>
      <c r="E372" s="5"/>
    </row>
    <row r="373" ht="14.25" customHeight="1">
      <c r="A373" s="6" t="s">
        <v>1057</v>
      </c>
      <c r="B373" s="7" t="s">
        <v>1058</v>
      </c>
      <c r="C373" s="6" t="s">
        <v>1059</v>
      </c>
      <c r="D373" s="6" t="s">
        <v>104</v>
      </c>
      <c r="E373" s="5"/>
    </row>
    <row r="374" ht="14.25" customHeight="1">
      <c r="A374" s="13" t="s">
        <v>1060</v>
      </c>
      <c r="B374" s="14" t="s">
        <v>1061</v>
      </c>
      <c r="C374" s="13" t="s">
        <v>1062</v>
      </c>
      <c r="D374" s="15" t="s">
        <v>1038</v>
      </c>
      <c r="E374" s="5"/>
    </row>
    <row r="375" ht="14.25" customHeight="1">
      <c r="A375" s="13" t="s">
        <v>1063</v>
      </c>
      <c r="B375" s="14" t="s">
        <v>1064</v>
      </c>
      <c r="C375" s="13" t="s">
        <v>1065</v>
      </c>
      <c r="D375" s="15" t="s">
        <v>182</v>
      </c>
      <c r="E375" s="5"/>
    </row>
    <row r="376" ht="14.25" customHeight="1">
      <c r="A376" s="6" t="s">
        <v>1066</v>
      </c>
      <c r="B376" s="7" t="s">
        <v>1067</v>
      </c>
      <c r="C376" s="9" t="s">
        <v>1068</v>
      </c>
      <c r="D376" s="9" t="s">
        <v>520</v>
      </c>
      <c r="E376" s="5"/>
    </row>
    <row r="377" ht="14.25" customHeight="1">
      <c r="A377" s="6" t="s">
        <v>1069</v>
      </c>
      <c r="B377" s="7" t="s">
        <v>1070</v>
      </c>
      <c r="C377" s="9" t="s">
        <v>1071</v>
      </c>
      <c r="D377" s="9" t="s">
        <v>520</v>
      </c>
      <c r="E377" s="5"/>
    </row>
    <row r="378" ht="14.25" customHeight="1">
      <c r="A378" s="6" t="s">
        <v>1072</v>
      </c>
      <c r="B378" s="7" t="s">
        <v>1073</v>
      </c>
      <c r="C378" s="6" t="s">
        <v>1074</v>
      </c>
      <c r="D378" s="6" t="s">
        <v>417</v>
      </c>
      <c r="E378" s="5"/>
    </row>
    <row r="379" ht="14.25" customHeight="1">
      <c r="A379" s="6" t="s">
        <v>1075</v>
      </c>
      <c r="B379" s="7" t="s">
        <v>1076</v>
      </c>
      <c r="C379" s="9" t="s">
        <v>1077</v>
      </c>
      <c r="D379" s="9" t="s">
        <v>520</v>
      </c>
      <c r="E379" s="5"/>
    </row>
    <row r="380" ht="14.25" customHeight="1">
      <c r="A380" s="6" t="s">
        <v>1078</v>
      </c>
      <c r="B380" s="7" t="s">
        <v>1079</v>
      </c>
      <c r="C380" s="6" t="s">
        <v>168</v>
      </c>
      <c r="D380" s="6" t="s">
        <v>168</v>
      </c>
    </row>
    <row r="381" ht="14.25" customHeight="1">
      <c r="A381" s="6" t="s">
        <v>1080</v>
      </c>
      <c r="B381" s="7" t="s">
        <v>1081</v>
      </c>
      <c r="C381" s="6" t="s">
        <v>168</v>
      </c>
      <c r="D381" s="6" t="s">
        <v>168</v>
      </c>
    </row>
    <row r="382" ht="14.25" customHeight="1">
      <c r="A382" s="6" t="s">
        <v>1082</v>
      </c>
      <c r="B382" s="7" t="s">
        <v>1083</v>
      </c>
      <c r="C382" s="9" t="s">
        <v>1084</v>
      </c>
      <c r="D382" s="9" t="s">
        <v>143</v>
      </c>
      <c r="E382" s="5"/>
    </row>
    <row r="383" ht="14.25" customHeight="1">
      <c r="A383" s="6" t="s">
        <v>1085</v>
      </c>
      <c r="B383" s="7" t="s">
        <v>1086</v>
      </c>
      <c r="C383" s="9" t="s">
        <v>1087</v>
      </c>
      <c r="D383" s="9" t="s">
        <v>182</v>
      </c>
      <c r="E383" s="5"/>
    </row>
    <row r="384" ht="14.25" customHeight="1">
      <c r="A384" s="6" t="s">
        <v>1088</v>
      </c>
      <c r="B384" s="7" t="s">
        <v>1089</v>
      </c>
      <c r="C384" s="6" t="s">
        <v>1090</v>
      </c>
      <c r="D384" s="6" t="s">
        <v>1091</v>
      </c>
      <c r="E384" s="5"/>
    </row>
    <row r="385" ht="14.25" customHeight="1">
      <c r="A385" s="6" t="s">
        <v>1092</v>
      </c>
      <c r="B385" s="7" t="s">
        <v>1093</v>
      </c>
      <c r="C385" s="6" t="s">
        <v>1094</v>
      </c>
      <c r="D385" s="6" t="s">
        <v>1091</v>
      </c>
      <c r="E385" s="5"/>
    </row>
    <row r="386" ht="14.25" customHeight="1">
      <c r="A386" s="13" t="s">
        <v>1095</v>
      </c>
      <c r="B386" s="14" t="s">
        <v>1096</v>
      </c>
      <c r="C386" s="13" t="s">
        <v>1097</v>
      </c>
      <c r="D386" s="13" t="s">
        <v>108</v>
      </c>
      <c r="E386" s="5"/>
    </row>
    <row r="387" ht="14.25" customHeight="1">
      <c r="A387" s="6" t="s">
        <v>1098</v>
      </c>
      <c r="B387" s="7" t="s">
        <v>1099</v>
      </c>
      <c r="C387" s="9" t="s">
        <v>1100</v>
      </c>
      <c r="D387" s="9" t="s">
        <v>520</v>
      </c>
      <c r="E387" s="5"/>
    </row>
    <row r="388" ht="14.25" customHeight="1">
      <c r="A388" s="6" t="s">
        <v>1101</v>
      </c>
      <c r="B388" s="7" t="s">
        <v>1102</v>
      </c>
      <c r="C388" s="6" t="s">
        <v>1103</v>
      </c>
      <c r="D388" s="6" t="s">
        <v>417</v>
      </c>
      <c r="E388" s="5"/>
    </row>
    <row r="389" ht="14.25" customHeight="1">
      <c r="A389" s="9" t="s">
        <v>1104</v>
      </c>
      <c r="B389" s="12" t="s">
        <v>1105</v>
      </c>
      <c r="C389" s="9" t="s">
        <v>1106</v>
      </c>
      <c r="D389" s="9" t="s">
        <v>520</v>
      </c>
      <c r="E389" s="5"/>
      <c r="F389" s="5" t="s">
        <v>1107</v>
      </c>
    </row>
    <row r="390" ht="14.25" customHeight="1">
      <c r="A390" s="6" t="s">
        <v>1108</v>
      </c>
      <c r="B390" s="7" t="s">
        <v>1109</v>
      </c>
      <c r="C390" s="9" t="s">
        <v>1110</v>
      </c>
      <c r="D390" s="9" t="s">
        <v>520</v>
      </c>
      <c r="E390" s="5"/>
    </row>
    <row r="391" ht="14.25" customHeight="1">
      <c r="A391" s="6" t="s">
        <v>1111</v>
      </c>
      <c r="B391" s="7" t="s">
        <v>1112</v>
      </c>
      <c r="C391" s="9" t="s">
        <v>1113</v>
      </c>
      <c r="D391" s="9" t="s">
        <v>143</v>
      </c>
      <c r="E391" s="5"/>
    </row>
    <row r="392" ht="14.25" customHeight="1">
      <c r="A392" s="6" t="s">
        <v>1114</v>
      </c>
      <c r="B392" s="7" t="s">
        <v>1115</v>
      </c>
      <c r="C392" s="6" t="s">
        <v>168</v>
      </c>
      <c r="D392" s="6" t="s">
        <v>168</v>
      </c>
    </row>
    <row r="393" ht="14.25" customHeight="1">
      <c r="A393" s="6" t="s">
        <v>1116</v>
      </c>
      <c r="B393" s="7" t="s">
        <v>1117</v>
      </c>
      <c r="C393" s="6" t="s">
        <v>1118</v>
      </c>
      <c r="D393" s="6" t="s">
        <v>1119</v>
      </c>
      <c r="E393" s="5"/>
    </row>
    <row r="394" ht="14.25" customHeight="1">
      <c r="A394" s="6" t="s">
        <v>1120</v>
      </c>
      <c r="B394" s="7" t="s">
        <v>1121</v>
      </c>
      <c r="C394" s="6" t="s">
        <v>168</v>
      </c>
      <c r="D394" s="6" t="s">
        <v>168</v>
      </c>
    </row>
    <row r="395" ht="14.25" customHeight="1">
      <c r="A395" s="13" t="s">
        <v>1122</v>
      </c>
      <c r="B395" s="14" t="s">
        <v>1123</v>
      </c>
      <c r="C395" s="13" t="s">
        <v>1124</v>
      </c>
      <c r="D395" s="13" t="s">
        <v>608</v>
      </c>
      <c r="E395" s="5"/>
    </row>
    <row r="396" ht="14.25" customHeight="1">
      <c r="A396" s="6" t="s">
        <v>1125</v>
      </c>
      <c r="B396" s="7" t="s">
        <v>1126</v>
      </c>
      <c r="C396" s="6" t="s">
        <v>168</v>
      </c>
      <c r="D396" s="6" t="s">
        <v>168</v>
      </c>
    </row>
    <row r="397" ht="14.25" customHeight="1">
      <c r="A397" s="13" t="s">
        <v>1127</v>
      </c>
      <c r="B397" s="14" t="s">
        <v>1128</v>
      </c>
      <c r="C397" s="15" t="s">
        <v>1129</v>
      </c>
      <c r="D397" s="15" t="s">
        <v>1038</v>
      </c>
      <c r="E397" s="5"/>
    </row>
    <row r="398" ht="14.25" customHeight="1">
      <c r="A398" s="6" t="s">
        <v>1130</v>
      </c>
      <c r="B398" s="7" t="s">
        <v>1131</v>
      </c>
      <c r="C398" s="6" t="s">
        <v>168</v>
      </c>
      <c r="D398" s="6" t="s">
        <v>168</v>
      </c>
    </row>
    <row r="399" ht="14.25" customHeight="1">
      <c r="A399" s="6" t="s">
        <v>1132</v>
      </c>
      <c r="B399" s="7" t="s">
        <v>1133</v>
      </c>
      <c r="C399" s="6" t="s">
        <v>168</v>
      </c>
      <c r="D399" s="6" t="s">
        <v>168</v>
      </c>
    </row>
    <row r="400" ht="14.25" customHeight="1">
      <c r="A400" s="6" t="s">
        <v>1134</v>
      </c>
      <c r="B400" s="7" t="s">
        <v>1135</v>
      </c>
      <c r="C400" s="6" t="s">
        <v>168</v>
      </c>
      <c r="D400" s="6" t="s">
        <v>168</v>
      </c>
    </row>
    <row r="401" ht="14.25" customHeight="1">
      <c r="A401" s="6" t="s">
        <v>1136</v>
      </c>
      <c r="B401" s="7" t="s">
        <v>1137</v>
      </c>
      <c r="C401" s="6" t="s">
        <v>1138</v>
      </c>
      <c r="D401" s="6" t="s">
        <v>584</v>
      </c>
    </row>
    <row r="402" ht="14.25" customHeight="1">
      <c r="A402" s="6" t="s">
        <v>1139</v>
      </c>
      <c r="B402" s="7" t="s">
        <v>1140</v>
      </c>
      <c r="C402" s="6" t="s">
        <v>1141</v>
      </c>
      <c r="D402" s="6" t="s">
        <v>584</v>
      </c>
    </row>
    <row r="403" ht="14.25" customHeight="1">
      <c r="A403" s="6" t="s">
        <v>1142</v>
      </c>
      <c r="B403" s="7" t="s">
        <v>1143</v>
      </c>
      <c r="C403" s="6" t="s">
        <v>1144</v>
      </c>
      <c r="D403" s="6" t="s">
        <v>182</v>
      </c>
    </row>
    <row r="404" ht="14.25" customHeight="1">
      <c r="A404" s="6" t="s">
        <v>1145</v>
      </c>
      <c r="B404" s="28" t="s">
        <v>1146</v>
      </c>
      <c r="C404" s="6" t="s">
        <v>1147</v>
      </c>
      <c r="D404" s="9" t="s">
        <v>524</v>
      </c>
      <c r="E404" s="5"/>
    </row>
    <row r="405" ht="14.25" customHeight="1">
      <c r="A405" s="6" t="s">
        <v>1148</v>
      </c>
      <c r="B405" s="28" t="s">
        <v>1149</v>
      </c>
      <c r="C405" s="9" t="s">
        <v>555</v>
      </c>
      <c r="D405" s="6" t="s">
        <v>556</v>
      </c>
      <c r="E405" s="5"/>
    </row>
    <row r="406" ht="14.25" customHeight="1">
      <c r="A406" s="9" t="s">
        <v>1150</v>
      </c>
      <c r="B406" s="27" t="s">
        <v>438</v>
      </c>
      <c r="C406" s="9" t="s">
        <v>439</v>
      </c>
      <c r="D406" s="9" t="s">
        <v>19</v>
      </c>
    </row>
    <row r="407" ht="14.25" customHeight="1">
      <c r="A407" s="9" t="s">
        <v>1151</v>
      </c>
      <c r="B407" s="27" t="s">
        <v>1152</v>
      </c>
      <c r="C407" s="9" t="s">
        <v>1153</v>
      </c>
      <c r="D407" s="9" t="s">
        <v>35</v>
      </c>
      <c r="E407" s="5" t="s">
        <v>24</v>
      </c>
    </row>
    <row r="408" ht="14.25" customHeight="1">
      <c r="A408" s="9" t="s">
        <v>1154</v>
      </c>
      <c r="B408" s="27" t="s">
        <v>1155</v>
      </c>
      <c r="C408" s="9" t="s">
        <v>1156</v>
      </c>
      <c r="D408" s="9" t="s">
        <v>35</v>
      </c>
      <c r="E408" s="5" t="s">
        <v>24</v>
      </c>
    </row>
    <row r="409" ht="14.25" customHeight="1">
      <c r="A409" s="9" t="s">
        <v>1157</v>
      </c>
      <c r="B409" s="27" t="s">
        <v>1158</v>
      </c>
      <c r="C409" s="9" t="s">
        <v>1159</v>
      </c>
      <c r="D409" s="9" t="s">
        <v>35</v>
      </c>
      <c r="E409" s="5" t="s">
        <v>24</v>
      </c>
    </row>
    <row r="410" ht="14.25" customHeight="1">
      <c r="A410" s="9" t="s">
        <v>1160</v>
      </c>
      <c r="B410" s="27" t="s">
        <v>1161</v>
      </c>
      <c r="C410" s="9" t="s">
        <v>1162</v>
      </c>
      <c r="D410" s="9" t="s">
        <v>35</v>
      </c>
      <c r="E410" s="5" t="s">
        <v>24</v>
      </c>
    </row>
    <row r="411" ht="14.25" customHeight="1">
      <c r="A411" s="9" t="s">
        <v>1163</v>
      </c>
      <c r="B411" s="27" t="s">
        <v>1164</v>
      </c>
      <c r="C411" s="9" t="s">
        <v>1165</v>
      </c>
      <c r="D411" s="9" t="s">
        <v>35</v>
      </c>
    </row>
    <row r="412" ht="14.25" customHeight="1">
      <c r="A412" s="9" t="s">
        <v>1166</v>
      </c>
      <c r="B412" s="27" t="s">
        <v>1167</v>
      </c>
      <c r="C412" s="9" t="s">
        <v>1168</v>
      </c>
      <c r="D412" s="9" t="s">
        <v>35</v>
      </c>
    </row>
    <row r="413" ht="14.25" customHeight="1">
      <c r="A413" s="9" t="s">
        <v>1169</v>
      </c>
      <c r="B413" s="27" t="s">
        <v>1170</v>
      </c>
      <c r="C413" s="9" t="s">
        <v>1171</v>
      </c>
      <c r="D413" s="9" t="s">
        <v>35</v>
      </c>
    </row>
    <row r="414" ht="14.25" customHeight="1">
      <c r="A414" s="29" t="s">
        <v>1172</v>
      </c>
      <c r="B414" s="30" t="s">
        <v>1173</v>
      </c>
      <c r="C414" s="29" t="s">
        <v>1174</v>
      </c>
      <c r="D414" s="9" t="s">
        <v>35</v>
      </c>
    </row>
    <row r="415" ht="14.25" customHeight="1">
      <c r="A415" s="29" t="s">
        <v>1175</v>
      </c>
      <c r="B415" s="30" t="s">
        <v>1176</v>
      </c>
      <c r="C415" s="29" t="s">
        <v>321</v>
      </c>
      <c r="D415" s="9" t="s">
        <v>182</v>
      </c>
    </row>
    <row r="416" ht="14.25" customHeight="1">
      <c r="A416" s="29" t="s">
        <v>1177</v>
      </c>
      <c r="B416" s="30" t="s">
        <v>1178</v>
      </c>
      <c r="C416" s="29" t="s">
        <v>1179</v>
      </c>
      <c r="D416" s="9" t="s">
        <v>377</v>
      </c>
    </row>
    <row r="417" ht="14.25" customHeight="1">
      <c r="A417" s="29" t="s">
        <v>1180</v>
      </c>
      <c r="B417" s="30" t="s">
        <v>1181</v>
      </c>
      <c r="C417" s="29" t="s">
        <v>1182</v>
      </c>
      <c r="D417" s="9" t="s">
        <v>11</v>
      </c>
    </row>
    <row r="418" ht="14.25" customHeight="1">
      <c r="A418" s="29" t="s">
        <v>1183</v>
      </c>
      <c r="B418" s="30" t="s">
        <v>1184</v>
      </c>
      <c r="C418" s="29" t="s">
        <v>1185</v>
      </c>
      <c r="D418" s="9" t="s">
        <v>11</v>
      </c>
    </row>
    <row r="419" ht="14.25" customHeight="1">
      <c r="A419" s="29" t="s">
        <v>1186</v>
      </c>
      <c r="B419" s="30" t="s">
        <v>1187</v>
      </c>
      <c r="C419" s="29" t="s">
        <v>1188</v>
      </c>
      <c r="D419" s="9" t="s">
        <v>11</v>
      </c>
    </row>
    <row r="420" ht="14.25" customHeight="1">
      <c r="A420" s="29" t="s">
        <v>1189</v>
      </c>
      <c r="B420" s="30" t="s">
        <v>1190</v>
      </c>
      <c r="C420" s="29" t="s">
        <v>1191</v>
      </c>
      <c r="D420" s="9" t="s">
        <v>11</v>
      </c>
    </row>
    <row r="421" ht="14.25" customHeight="1">
      <c r="A421" s="29" t="s">
        <v>1192</v>
      </c>
      <c r="B421" s="30" t="s">
        <v>1193</v>
      </c>
      <c r="C421" s="29" t="s">
        <v>1194</v>
      </c>
      <c r="D421" s="9" t="s">
        <v>11</v>
      </c>
    </row>
    <row r="422" ht="14.25" customHeight="1">
      <c r="A422" s="29" t="s">
        <v>1195</v>
      </c>
      <c r="B422" s="30" t="s">
        <v>1196</v>
      </c>
      <c r="C422" s="29" t="s">
        <v>1197</v>
      </c>
      <c r="D422" s="9" t="s">
        <v>35</v>
      </c>
    </row>
    <row r="423" ht="14.25" customHeight="1">
      <c r="A423" s="29" t="s">
        <v>1198</v>
      </c>
      <c r="B423" s="30" t="s">
        <v>1199</v>
      </c>
      <c r="C423" s="29" t="s">
        <v>1159</v>
      </c>
      <c r="D423" s="9" t="s">
        <v>35</v>
      </c>
    </row>
    <row r="424" ht="14.25" customHeight="1">
      <c r="A424" s="29" t="s">
        <v>1200</v>
      </c>
      <c r="B424" s="30" t="s">
        <v>1201</v>
      </c>
      <c r="C424" s="29" t="s">
        <v>1153</v>
      </c>
      <c r="D424" s="9" t="s">
        <v>35</v>
      </c>
    </row>
    <row r="425" ht="14.25" customHeight="1">
      <c r="A425" s="29" t="s">
        <v>1202</v>
      </c>
      <c r="B425" s="30" t="s">
        <v>1203</v>
      </c>
      <c r="C425" s="29" t="s">
        <v>1156</v>
      </c>
      <c r="D425" s="9" t="s">
        <v>35</v>
      </c>
    </row>
    <row r="426" ht="14.25" customHeight="1">
      <c r="A426" s="29" t="s">
        <v>1204</v>
      </c>
      <c r="B426" s="30" t="s">
        <v>1205</v>
      </c>
      <c r="C426" s="29" t="s">
        <v>1206</v>
      </c>
      <c r="D426" s="9" t="s">
        <v>1207</v>
      </c>
    </row>
    <row r="427" ht="14.25" customHeight="1">
      <c r="A427" s="31"/>
      <c r="B427" s="32"/>
      <c r="C427" s="31"/>
      <c r="D427" s="31"/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4.25" customHeight="1">
      <c r="A600" s="31"/>
      <c r="B600" s="32"/>
      <c r="C600" s="31"/>
      <c r="D600" s="31"/>
    </row>
    <row r="601" ht="14.25" customHeight="1">
      <c r="A601" s="31"/>
      <c r="B601" s="32"/>
      <c r="C601" s="31"/>
      <c r="D601" s="31"/>
    </row>
    <row r="602" ht="14.25" customHeight="1">
      <c r="A602" s="31"/>
      <c r="B602" s="32"/>
      <c r="C602" s="31"/>
      <c r="D602" s="31"/>
    </row>
    <row r="603" ht="14.25" customHeight="1">
      <c r="A603" s="31"/>
      <c r="B603" s="32"/>
      <c r="C603" s="31"/>
      <c r="D603" s="31"/>
    </row>
    <row r="604" ht="14.25" customHeight="1">
      <c r="A604" s="31"/>
      <c r="B604" s="32"/>
      <c r="C604" s="31"/>
      <c r="D604" s="31"/>
    </row>
    <row r="605" ht="14.25" customHeight="1">
      <c r="A605" s="31"/>
      <c r="B605" s="32"/>
      <c r="C605" s="31"/>
      <c r="D605" s="31"/>
    </row>
    <row r="606" ht="15.75" customHeight="1">
      <c r="A606" s="33"/>
      <c r="B606" s="33"/>
      <c r="C606" s="33"/>
      <c r="D606" s="33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  <row r="1005" ht="15.75" customHeight="1">
      <c r="A1005" s="33"/>
      <c r="B1005" s="33"/>
      <c r="C1005" s="33"/>
      <c r="D1005" s="33"/>
    </row>
    <row r="1006" ht="15.75" customHeight="1">
      <c r="A1006" s="33"/>
      <c r="B1006" s="33"/>
      <c r="C1006" s="33"/>
      <c r="D1006" s="33"/>
    </row>
    <row r="1007" ht="15.75" customHeight="1">
      <c r="A1007" s="33"/>
      <c r="B1007" s="33"/>
      <c r="C1007" s="33"/>
      <c r="D1007" s="33"/>
    </row>
    <row r="1008" ht="15.75" customHeight="1">
      <c r="A1008" s="33"/>
      <c r="B1008" s="33"/>
      <c r="C1008" s="33"/>
      <c r="D1008" s="33"/>
    </row>
    <row r="1009" ht="15.75" customHeight="1">
      <c r="A1009" s="33"/>
      <c r="B1009" s="33"/>
      <c r="C1009" s="33"/>
      <c r="D1009" s="33"/>
    </row>
    <row r="1010" ht="15.75" customHeight="1">
      <c r="A1010" s="33"/>
      <c r="B1010" s="33"/>
      <c r="C1010" s="33"/>
      <c r="D1010" s="33"/>
    </row>
  </sheetData>
  <autoFilter ref="$A$1:$E$408"/>
  <conditionalFormatting sqref="A1:A1010">
    <cfRule type="expression" dxfId="0" priority="1">
      <formula>COUNTIF(A:A,A1)&gt;1</formula>
    </cfRule>
  </conditionalFormatting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1208</v>
      </c>
      <c r="B1" s="34"/>
      <c r="C1" s="35" t="s">
        <v>1209</v>
      </c>
      <c r="D1" s="36" t="s">
        <v>1</v>
      </c>
      <c r="E1" s="37" t="s">
        <v>2</v>
      </c>
      <c r="F1" s="38" t="s">
        <v>3</v>
      </c>
    </row>
    <row r="2">
      <c r="A2" s="39" t="s">
        <v>64</v>
      </c>
      <c r="B2" s="39" t="s">
        <v>230</v>
      </c>
      <c r="C2" s="39" t="s">
        <v>485</v>
      </c>
      <c r="D2" s="39" t="s">
        <v>486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64</v>
      </c>
      <c r="B3" s="39" t="s">
        <v>399</v>
      </c>
      <c r="C3" s="42" t="s">
        <v>488</v>
      </c>
      <c r="D3" s="39" t="s">
        <v>489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B4" s="39"/>
      <c r="C4" s="39" t="s">
        <v>1204</v>
      </c>
      <c r="D4" s="39"/>
      <c r="E4" s="40" t="str">
        <f t="array" ref="E4">CONCATENATE(XLOOKUP($A4,Lotes!$A:$A,Lotes!$C:$C),"/",XLOOKUP($B4,Lotes!$A:$A,Lotes!$C:$C))</f>
        <v>#N/A</v>
      </c>
      <c r="F4" s="40" t="str">
        <f t="array" ref="F4">XLOOKUP($A4,Lotes!$A:$A,Lotes!$D:$D)</f>
        <v>#N/A</v>
      </c>
    </row>
    <row r="5">
      <c r="A5" s="43" t="s">
        <v>101</v>
      </c>
      <c r="B5" s="39"/>
      <c r="C5" s="39" t="s">
        <v>445</v>
      </c>
      <c r="D5" s="39" t="s">
        <v>446</v>
      </c>
      <c r="E5" s="41" t="str">
        <f t="array" ref="E5">XLOOKUP($A5,Lotes!$A:$A,Lotes!$C:$C)</f>
        <v>2025210BLEFA</v>
      </c>
      <c r="F5" s="41" t="str">
        <f t="array" ref="F5">XLOOKUP($A5,Lotes!$A:$A,Lotes!$D:$D)</f>
        <v>02/27</v>
      </c>
    </row>
    <row r="6">
      <c r="A6" s="39" t="s">
        <v>105</v>
      </c>
      <c r="B6" s="39"/>
      <c r="C6" s="39" t="s">
        <v>447</v>
      </c>
      <c r="D6" s="39" t="s">
        <v>448</v>
      </c>
      <c r="E6" s="41" t="str">
        <f t="array" ref="E6">XLOOKUP($A6,Lotes!$A:$A,Lotes!$C:$C)</f>
        <v>20252207BLEFL</v>
      </c>
      <c r="F6" s="41" t="str">
        <f t="array" ref="F6">XLOOKUP($A6,Lotes!$A:$A,Lotes!$D:$D)</f>
        <v>07/27</v>
      </c>
    </row>
    <row r="7">
      <c r="A7" s="39" t="s">
        <v>109</v>
      </c>
      <c r="B7" s="39"/>
      <c r="C7" s="39" t="s">
        <v>449</v>
      </c>
      <c r="D7" s="39" t="s">
        <v>450</v>
      </c>
      <c r="E7" s="41" t="str">
        <f t="array" ref="E7">XLOOKUP($A7,Lotes!$A:$A,Lotes!$C:$C)</f>
        <v>20252207BLEMA</v>
      </c>
      <c r="F7" s="41" t="str">
        <f t="array" ref="F7">XLOOKUP($A7,Lotes!$A:$A,Lotes!$D:$D)</f>
        <v>07/27</v>
      </c>
    </row>
    <row r="8">
      <c r="A8" s="39" t="s">
        <v>115</v>
      </c>
      <c r="B8" s="39"/>
      <c r="C8" s="39" t="s">
        <v>451</v>
      </c>
      <c r="D8" s="39" t="s">
        <v>452</v>
      </c>
      <c r="E8" s="41" t="str">
        <f t="array" ref="E8">XLOOKUP($A8,Lotes!$A:$A,Lotes!$C:$C)</f>
        <v>20252602BLESR</v>
      </c>
      <c r="F8" s="41" t="str">
        <f t="array" ref="F8">XLOOKUP($A8,Lotes!$A:$A,Lotes!$D:$D)</f>
        <v>02/27</v>
      </c>
    </row>
    <row r="9">
      <c r="A9" s="39" t="s">
        <v>521</v>
      </c>
      <c r="B9" s="39"/>
      <c r="C9" s="39" t="s">
        <v>453</v>
      </c>
      <c r="D9" s="39" t="s">
        <v>454</v>
      </c>
      <c r="E9" s="41" t="str">
        <f t="array" ref="E9">XLOOKUP($A9,Lotes!$A:$A,Lotes!$C:$C)</f>
        <v>OLFA2506</v>
      </c>
      <c r="F9" s="41" t="str">
        <f t="array" ref="F9">XLOOKUP($A9,Lotes!$A:$A,Lotes!$D:$D)</f>
        <v>06/27</v>
      </c>
    </row>
    <row r="10">
      <c r="A10" s="39" t="s">
        <v>525</v>
      </c>
      <c r="B10" s="39"/>
      <c r="C10" s="39" t="s">
        <v>455</v>
      </c>
      <c r="D10" s="39" t="s">
        <v>456</v>
      </c>
      <c r="E10" s="41" t="str">
        <f t="array" ref="E10">XLOOKUP($A10,Lotes!$A:$A,Lotes!$C:$C)</f>
        <v>OLFL2510</v>
      </c>
      <c r="F10" s="41" t="str">
        <f t="array" ref="F10">XLOOKUP($A10,Lotes!$A:$A,Lotes!$D:$D)</f>
        <v>10/27</v>
      </c>
    </row>
    <row r="11">
      <c r="A11" s="39" t="s">
        <v>528</v>
      </c>
      <c r="B11" s="39"/>
      <c r="C11" s="39" t="s">
        <v>457</v>
      </c>
      <c r="D11" s="39" t="s">
        <v>458</v>
      </c>
      <c r="E11" s="41" t="str">
        <f t="array" ref="E11">XLOOKUP($A11,Lotes!$A:$A,Lotes!$C:$C)</f>
        <v>OLIN2508</v>
      </c>
      <c r="F11" s="41" t="str">
        <f t="array" ref="F11">XLOOKUP($A11,Lotes!$A:$A,Lotes!$D:$D)</f>
        <v>08/27</v>
      </c>
    </row>
    <row r="12">
      <c r="A12" s="39" t="s">
        <v>531</v>
      </c>
      <c r="B12" s="39"/>
      <c r="C12" s="39" t="s">
        <v>459</v>
      </c>
      <c r="D12" s="39" t="s">
        <v>460</v>
      </c>
      <c r="E12" s="41" t="str">
        <f t="array" ref="E12">XLOOKUP($A12,Lotes!$A:$A,Lotes!$C:$C)</f>
        <v>OLLA2511</v>
      </c>
      <c r="F12" s="41" t="str">
        <f t="array" ref="F12">XLOOKUP($A12,Lotes!$A:$A,Lotes!$D:$D)</f>
        <v>11/27</v>
      </c>
    </row>
    <row r="13">
      <c r="A13" s="39" t="s">
        <v>534</v>
      </c>
      <c r="B13" s="39"/>
      <c r="C13" s="39" t="s">
        <v>461</v>
      </c>
      <c r="D13" s="39" t="s">
        <v>462</v>
      </c>
      <c r="E13" s="41" t="str">
        <f t="array" ref="E13">XLOOKUP($A13,Lotes!$A:$A,Lotes!$C:$C)</f>
        <v>OLMP2512</v>
      </c>
      <c r="F13" s="41" t="str">
        <f t="array" ref="F13">XLOOKUP($A13,Lotes!$A:$A,Lotes!$D:$D)</f>
        <v>12/27</v>
      </c>
    </row>
    <row r="14">
      <c r="A14" s="39" t="s">
        <v>537</v>
      </c>
      <c r="B14" s="39"/>
      <c r="C14" s="39" t="s">
        <v>463</v>
      </c>
      <c r="D14" s="39" t="s">
        <v>464</v>
      </c>
      <c r="E14" s="41" t="str">
        <f t="array" ref="E14">XLOOKUP($A14,Lotes!$A:$A,Lotes!$C:$C)</f>
        <v>OLMC</v>
      </c>
      <c r="F14" s="41" t="str">
        <f t="array" ref="F14">XLOOKUP($A14,Lotes!$A:$A,Lotes!$D:$D)</f>
        <v>12/27</v>
      </c>
    </row>
    <row r="15">
      <c r="A15" s="39" t="s">
        <v>544</v>
      </c>
      <c r="B15" s="39"/>
      <c r="C15" s="39" t="s">
        <v>465</v>
      </c>
      <c r="D15" s="39" t="s">
        <v>466</v>
      </c>
      <c r="E15" s="41" t="str">
        <f t="array" ref="E15">XLOOKUP($A15,Lotes!$A:$A,Lotes!$C:$C)</f>
        <v>OLPV2510</v>
      </c>
      <c r="F15" s="41" t="str">
        <f t="array" ref="F15">XLOOKUP($A15,Lotes!$A:$A,Lotes!$D:$D)</f>
        <v>10/27</v>
      </c>
    </row>
    <row r="16">
      <c r="A16" s="39" t="s">
        <v>550</v>
      </c>
      <c r="B16" s="39"/>
      <c r="C16" s="39" t="s">
        <v>467</v>
      </c>
      <c r="D16" s="39" t="s">
        <v>468</v>
      </c>
      <c r="E16" s="41" t="str">
        <f t="array" ref="E16">XLOOKUP($A16,Lotes!$A:$A,Lotes!$C:$C)</f>
        <v>OLSR2510</v>
      </c>
      <c r="F16" s="41" t="str">
        <f t="array" ref="F16">XLOOKUP($A16,Lotes!$A:$A,Lotes!$D:$D)</f>
        <v>10/27</v>
      </c>
    </row>
    <row r="17">
      <c r="A17" s="39" t="s">
        <v>940</v>
      </c>
      <c r="B17" s="39"/>
      <c r="C17" s="39" t="s">
        <v>494</v>
      </c>
      <c r="D17" s="39" t="s">
        <v>495</v>
      </c>
      <c r="E17" s="41" t="str">
        <f t="array" ref="E17">XLOOKUP($A17,Lotes!$A:$A,Lotes!$C:$C)</f>
        <v>240104</v>
      </c>
      <c r="F17" s="41" t="str">
        <f t="array" ref="F17">XLOOKUP($A17,Lotes!$A:$A,Lotes!$D:$D)</f>
        <v>10/27</v>
      </c>
    </row>
    <row r="18">
      <c r="A18" s="39" t="s">
        <v>943</v>
      </c>
      <c r="B18" s="39"/>
      <c r="C18" s="39" t="s">
        <v>496</v>
      </c>
      <c r="D18" s="39" t="s">
        <v>497</v>
      </c>
      <c r="E18" s="41" t="str">
        <f t="array" ref="E18">XLOOKUP($A18,Lotes!$A:$A,Lotes!$C:$C)</f>
        <v>240105</v>
      </c>
      <c r="F18" s="41" t="str">
        <f t="array" ref="F18">XLOOKUP($A18,Lotes!$A:$A,Lotes!$D:$D)</f>
        <v>11/27</v>
      </c>
    </row>
    <row r="19">
      <c r="A19" s="39" t="s">
        <v>946</v>
      </c>
      <c r="B19" s="39"/>
      <c r="C19" s="39" t="s">
        <v>499</v>
      </c>
      <c r="D19" s="39" t="s">
        <v>500</v>
      </c>
      <c r="E19" s="41" t="str">
        <f t="array" ref="E19">XLOOKUP($A19,Lotes!$A:$A,Lotes!$C:$C)</f>
        <v>240205</v>
      </c>
      <c r="F19" s="41" t="str">
        <f t="array" ref="F19">XLOOKUP($A19,Lotes!$A:$A,Lotes!$D:$D)</f>
        <v>10/27</v>
      </c>
    </row>
    <row r="20">
      <c r="A20" s="39" t="s">
        <v>949</v>
      </c>
      <c r="B20" s="39"/>
      <c r="C20" s="39" t="s">
        <v>501</v>
      </c>
      <c r="D20" s="39" t="s">
        <v>502</v>
      </c>
      <c r="E20" s="41" t="str">
        <f t="array" ref="E20">XLOOKUP($A20,Lotes!$A:$A,Lotes!$C:$C)</f>
        <v>250201</v>
      </c>
      <c r="F20" s="41" t="str">
        <f t="array" ref="F20">XLOOKUP($A20,Lotes!$A:$A,Lotes!$D:$D)</f>
        <v>09/28</v>
      </c>
    </row>
    <row r="21">
      <c r="A21" s="39" t="s">
        <v>955</v>
      </c>
      <c r="B21" s="39"/>
      <c r="C21" s="39" t="s">
        <v>503</v>
      </c>
      <c r="D21" s="39" t="s">
        <v>504</v>
      </c>
      <c r="E21" s="41" t="str">
        <f t="array" ref="E21">XLOOKUP($A21,Lotes!$A:$A,Lotes!$C:$C)</f>
        <v>240303</v>
      </c>
      <c r="F21" s="41" t="str">
        <f t="array" ref="F21">XLOOKUP($A21,Lotes!$A:$A,Lotes!$D:$D)</f>
        <v>08/28</v>
      </c>
    </row>
    <row r="22" ht="15.75" customHeight="1">
      <c r="A22" s="39" t="s">
        <v>958</v>
      </c>
      <c r="B22" s="39"/>
      <c r="C22" s="39" t="s">
        <v>505</v>
      </c>
      <c r="D22" s="39" t="s">
        <v>506</v>
      </c>
      <c r="E22" s="41" t="str">
        <f t="array" ref="E22">XLOOKUP($A22,Lotes!$A:$A,Lotes!$C:$C)</f>
        <v>250302</v>
      </c>
      <c r="F22" s="41" t="str">
        <f t="array" ref="F22">XLOOKUP($A22,Lotes!$A:$A,Lotes!$D:$D)</f>
        <v>07/28</v>
      </c>
    </row>
    <row r="23" ht="15.75" customHeight="1">
      <c r="A23" s="39" t="s">
        <v>964</v>
      </c>
      <c r="B23" s="39"/>
      <c r="C23" s="39" t="s">
        <v>507</v>
      </c>
      <c r="D23" s="39" t="s">
        <v>508</v>
      </c>
      <c r="E23" s="41" t="str">
        <f t="array" ref="E23">XLOOKUP($A23,Lotes!$A:$A,Lotes!$C:$C)</f>
        <v>250601</v>
      </c>
      <c r="F23" s="41" t="str">
        <f t="array" ref="F23">XLOOKUP($A23,Lotes!$A:$A,Lotes!$D:$D)</f>
        <v>03/28</v>
      </c>
    </row>
    <row r="24" ht="15.75" customHeight="1">
      <c r="A24" s="39" t="s">
        <v>509</v>
      </c>
      <c r="B24" s="39"/>
      <c r="C24" s="39" t="s">
        <v>509</v>
      </c>
      <c r="D24" s="39" t="s">
        <v>1210</v>
      </c>
      <c r="E24" s="41" t="str">
        <f t="array" ref="E24">XLOOKUP($A24,Lotes!$A:$A,Lotes!$C:$C)</f>
        <v>250704</v>
      </c>
      <c r="F24" s="41" t="str">
        <f t="array" ref="F24">XLOOKUP($A24,Lotes!$A:$A,Lotes!$D:$D)</f>
        <v>10/28</v>
      </c>
    </row>
    <row r="25" ht="15.75" customHeight="1">
      <c r="A25" s="39" t="s">
        <v>115</v>
      </c>
      <c r="B25" s="44"/>
      <c r="C25" s="44" t="s">
        <v>512</v>
      </c>
      <c r="D25" s="44" t="s">
        <v>513</v>
      </c>
      <c r="E25" s="41" t="str">
        <f t="array" ref="E25">XLOOKUP($A25,Lotes!$A:$A,Lotes!$C:$C)</f>
        <v>20252602BLESR</v>
      </c>
      <c r="F25" s="41" t="str">
        <f t="array" ref="F25">XLOOKUP($A25,Lotes!$A:$A,Lotes!$D:$D)</f>
        <v>02/27</v>
      </c>
    </row>
    <row r="26" ht="15.75" customHeight="1">
      <c r="A26" s="39" t="s">
        <v>105</v>
      </c>
      <c r="B26" s="39"/>
      <c r="C26" s="39" t="s">
        <v>479</v>
      </c>
      <c r="D26" s="39" t="s">
        <v>480</v>
      </c>
      <c r="E26" s="41" t="str">
        <f t="array" ref="E26">XLOOKUP($A26,Lotes!$A:$A,Lotes!$C:$C)</f>
        <v>20252207BLEFL</v>
      </c>
      <c r="F26" s="41" t="str">
        <f t="array" ref="F26">XLOOKUP($A26,Lotes!$A:$A,Lotes!$D:$D)</f>
        <v>07/27</v>
      </c>
    </row>
    <row r="27" ht="15.75" customHeight="1">
      <c r="A27" s="39" t="s">
        <v>101</v>
      </c>
      <c r="B27" s="39"/>
      <c r="C27" s="39" t="s">
        <v>477</v>
      </c>
      <c r="D27" s="39" t="s">
        <v>478</v>
      </c>
      <c r="E27" s="41" t="str">
        <f t="array" ref="E27">XLOOKUP($A27,Lotes!$A:$A,Lotes!$C:$C)</f>
        <v>2025210BLEFA</v>
      </c>
      <c r="F27" s="41" t="str">
        <f t="array" ref="F27">XLOOKUP($A27,Lotes!$A:$A,Lotes!$D:$D)</f>
        <v>02/27</v>
      </c>
    </row>
    <row r="28" ht="15.75" customHeight="1">
      <c r="A28" s="39" t="s">
        <v>109</v>
      </c>
      <c r="B28" s="39"/>
      <c r="C28" s="39" t="s">
        <v>483</v>
      </c>
      <c r="D28" s="39" t="s">
        <v>484</v>
      </c>
      <c r="E28" s="41" t="str">
        <f t="array" ref="E28">XLOOKUP($A28,Lotes!$A:$A,Lotes!$C:$C)</f>
        <v>20252207BLEMA</v>
      </c>
      <c r="F28" s="41" t="str">
        <f t="array" ref="F28">XLOOKUP($A28,Lotes!$A:$A,Lotes!$D:$D)</f>
        <v>07/27</v>
      </c>
    </row>
    <row r="29" ht="15.75" customHeight="1">
      <c r="A29" s="39" t="s">
        <v>112</v>
      </c>
      <c r="B29" s="39"/>
      <c r="C29" s="39" t="s">
        <v>492</v>
      </c>
      <c r="D29" s="39" t="s">
        <v>493</v>
      </c>
      <c r="E29" s="41" t="str">
        <f t="array" ref="E29">XLOOKUP($A29,Lotes!$A:$A,Lotes!$C:$C)</f>
        <v>20240602BLEPE</v>
      </c>
      <c r="F29" s="41" t="str">
        <f t="array" ref="F29">XLOOKUP($A29,Lotes!$A:$A,Lotes!$D:$D)</f>
        <v>02/27</v>
      </c>
    </row>
    <row r="30" ht="15.75" customHeight="1">
      <c r="A30" s="39" t="s">
        <v>109</v>
      </c>
      <c r="B30" s="44"/>
      <c r="C30" s="44" t="s">
        <v>481</v>
      </c>
      <c r="D30" s="44" t="s">
        <v>1211</v>
      </c>
      <c r="E30" s="41" t="str">
        <f t="array" ref="E30">XLOOKUP($A30,Lotes!$A:$A,Lotes!$C:$C)</f>
        <v>20252207BLEMA</v>
      </c>
      <c r="F30" s="41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5"/>
      <c r="B65" s="45"/>
      <c r="C65" s="45"/>
      <c r="D65" s="45"/>
      <c r="E65" s="45"/>
      <c r="F65" s="45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5"/>
      <c r="B92" s="45"/>
      <c r="C92" s="45"/>
      <c r="D92" s="45"/>
      <c r="E92" s="45"/>
      <c r="F92" s="45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